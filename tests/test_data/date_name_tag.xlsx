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dev\aurora-robot-tools\tests\test_data\"/>
    </mc:Choice>
  </mc:AlternateContent>
  <xr:revisionPtr revIDLastSave="0" documentId="13_ncr:1_{3C0CC959-41AD-4C81-8022-D27CD4494FB7}" xr6:coauthVersionLast="47" xr6:coauthVersionMax="47" xr10:uidLastSave="{00000000-0000-0000-0000-000000000000}"/>
  <bookViews>
    <workbookView xWindow="2295" yWindow="2295" windowWidth="21600" windowHeight="12645" tabRatio="500" xr2:uid="{00000000-000D-0000-FFFF-FFFF00000000}"/>
  </bookViews>
  <sheets>
    <sheet name="Input Table" sheetId="1" r:id="rId1"/>
    <sheet name="Electrolyte Properties" sheetId="2" r:id="rId2"/>
    <sheet name="Component Properties" sheetId="3" r:id="rId3"/>
  </sheets>
  <definedNames>
    <definedName name="New_Input" localSheetId="0">'Input Table'!$A$1:$Q$7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6" i="1" l="1"/>
  <c r="J27" i="1"/>
  <c r="J28" i="1"/>
  <c r="J29" i="1"/>
  <c r="J30" i="1"/>
  <c r="J31" i="1"/>
  <c r="J32" i="1"/>
  <c r="J33" i="1"/>
  <c r="J34" i="1"/>
  <c r="J35" i="1"/>
  <c r="J36" i="1"/>
  <c r="J37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" i="1"/>
  <c r="J3" i="1"/>
  <c r="J5" i="1"/>
  <c r="J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The position of the parts on the racks. This starts at 1 on the bottom left, 2 on the bottom right, 3 and 4 on the next row up etc.</t>
        </r>
      </text>
    </comment>
    <comment ref="H1" authorId="0" shapeId="0" xr:uid="{00000000-0006-0000-0000-000002000000}">
      <text>
        <r>
          <rPr>
            <sz val="10"/>
            <rFont val="Arial"/>
            <family val="2"/>
          </rPr>
          <t>The type of separator you are using, e.g. Cellguard or Wattman</t>
        </r>
      </text>
    </comment>
    <comment ref="I1" authorId="0" shapeId="0" xr:uid="{00000000-0006-0000-0000-000003000000}">
      <text>
        <r>
          <rPr>
            <sz val="10"/>
            <rFont val="Arial"/>
            <family val="2"/>
          </rPr>
          <t>The position in the premixed electrolyte solutions: 1, 2, 3, 4</t>
        </r>
      </text>
    </comment>
    <comment ref="J1" authorId="0" shapeId="0" xr:uid="{00000000-0006-0000-0000-000004000000}">
      <text>
        <r>
          <rPr>
            <sz val="10"/>
            <rFont val="Arial"/>
            <family val="2"/>
          </rPr>
          <t>The type of electrolyte used
This is read from the electrolyte properties table based on the electrolyte position you input</t>
        </r>
      </text>
    </comment>
    <comment ref="K1" authorId="0" shapeId="0" xr:uid="{00000000-0006-0000-0000-000005000000}">
      <text>
        <r>
          <rPr>
            <sz val="10"/>
            <rFont val="Arial"/>
            <family val="2"/>
          </rPr>
          <t>The amount of electrolyte in micro litres</t>
        </r>
      </text>
    </comment>
    <comment ref="L1" authorId="0" shapeId="0" xr:uid="{00000000-0006-0000-0000-000006000000}">
      <text>
        <r>
          <rPr>
            <sz val="10"/>
            <rFont val="Arial"/>
            <family val="2"/>
          </rPr>
          <t>Whether the electrolyte should be dispensed before or after the separator, or half before and half after</t>
        </r>
      </text>
    </comment>
    <comment ref="M1" authorId="0" shapeId="0" xr:uid="{00000000-0006-0000-0000-000007000000}">
      <text>
        <r>
          <rPr>
            <sz val="10"/>
            <rFont val="Arial"/>
            <family val="2"/>
          </rPr>
          <t>The type of casing used e.g. 2032</t>
        </r>
      </text>
    </comment>
    <comment ref="P1" authorId="0" shapeId="0" xr:uid="{00000000-0006-0000-0000-000008000000}">
      <text>
        <r>
          <rPr>
            <sz val="10"/>
            <rFont val="Arial"/>
            <family val="2"/>
          </rPr>
          <t>The anode and cathodes within each batch can be swapped around to get the best capacity balance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" authorId="0" shapeId="0" xr:uid="{00000000-0006-0000-0200-000001000000}">
      <text>
        <r>
          <rPr>
            <sz val="10"/>
            <rFont val="Arial"/>
            <family val="2"/>
          </rPr>
          <t>Weight fraction of active material in the anode, excluding the current collector</t>
        </r>
      </text>
    </comment>
    <comment ref="H1" authorId="0" shapeId="0" xr:uid="{00000000-0006-0000-0200-000002000000}">
      <text>
        <r>
          <rPr>
            <sz val="10"/>
            <rFont val="Arial"/>
            <family val="2"/>
          </rPr>
          <t>Where does the value of anode nominal specific capacity come from? E.g. specificy the paper or supplier</t>
        </r>
      </text>
    </comment>
    <comment ref="M1" authorId="0" shapeId="0" xr:uid="{00000000-0006-0000-0200-000003000000}">
      <text>
        <r>
          <rPr>
            <sz val="10"/>
            <rFont val="Arial"/>
            <family val="2"/>
          </rPr>
          <t>Weight fraction of active material in the anode, excluding the current collector</t>
        </r>
      </text>
    </comment>
    <comment ref="P1" authorId="0" shapeId="0" xr:uid="{00000000-0006-0000-0200-000004000000}">
      <text>
        <r>
          <rPr>
            <sz val="10"/>
            <rFont val="Arial"/>
            <family val="2"/>
          </rPr>
          <t>Where does the value of cathode nominal specific capacity come from? E.g. specificy the paper or supplier</t>
        </r>
      </text>
    </comment>
  </commentList>
</comments>
</file>

<file path=xl/sharedStrings.xml><?xml version="1.0" encoding="utf-8"?>
<sst xmlns="http://schemas.openxmlformats.org/spreadsheetml/2006/main" count="250" uniqueCount="76">
  <si>
    <t>Rack Position</t>
  </si>
  <si>
    <t>Anode Type</t>
  </si>
  <si>
    <t>Cathode Type</t>
  </si>
  <si>
    <t>Separator Diameter (mm)</t>
  </si>
  <si>
    <t>Electrolyte Position</t>
  </si>
  <si>
    <t>Electrolyte Name</t>
  </si>
  <si>
    <t>Casing Type</t>
  </si>
  <si>
    <t>Batch Number</t>
  </si>
  <si>
    <t>Comments</t>
  </si>
  <si>
    <t>Whatman</t>
  </si>
  <si>
    <t>Electrolyte position mixing ratios</t>
  </si>
  <si>
    <t>Name</t>
  </si>
  <si>
    <t>Description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</si>
  <si>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</si>
  <si>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</si>
  <si>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</si>
  <si>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</si>
  <si>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</si>
  <si>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</si>
  <si>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</si>
  <si>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</si>
  <si>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Mix 9</t>
  </si>
  <si>
    <t>Mix 10</t>
  </si>
  <si>
    <t>Mix 11</t>
  </si>
  <si>
    <t>Anode Description</t>
  </si>
  <si>
    <t>Anode Diameter (mm)</t>
  </si>
  <si>
    <t>Anode Balancing Specific Capacity (mAh/g)</t>
  </si>
  <si>
    <t>Anode C-rate Definition Areal Capacity (mAh/cm2)</t>
  </si>
  <si>
    <t>Anode C-rate Definition Specific Capacity (mAh/g)</t>
  </si>
  <si>
    <t>Cathode Description</t>
  </si>
  <si>
    <t>Cathode Diameter (mm)</t>
  </si>
  <si>
    <t>Cathode Balancing Specific Capacity (mAh/g)</t>
  </si>
  <si>
    <t>Cathode C-rate Definition Areal Capacity (mAh/cm2)</t>
  </si>
  <si>
    <t>Cathode C-rate Definition Specific Capacity (mAh/g)</t>
  </si>
  <si>
    <t>Spacer Type</t>
  </si>
  <si>
    <t>SUS5</t>
  </si>
  <si>
    <t>SUS10</t>
  </si>
  <si>
    <t>SUS15</t>
  </si>
  <si>
    <t>Stainless steel</t>
  </si>
  <si>
    <t>Separator Type</t>
  </si>
  <si>
    <t>Celgard</t>
  </si>
  <si>
    <t>Anode</t>
  </si>
  <si>
    <t>Spacer Diameter (mm)</t>
  </si>
  <si>
    <t>Spacer Thickness (mm)</t>
  </si>
  <si>
    <t>Spacer Material</t>
  </si>
  <si>
    <t>Separator Thickness (mm)</t>
  </si>
  <si>
    <t>Casing Material</t>
  </si>
  <si>
    <t>CR2032</t>
  </si>
  <si>
    <t>Aluminium coated stainless steel</t>
  </si>
  <si>
    <t>Bottom Spacer Type</t>
  </si>
  <si>
    <t>Top Spacer Type</t>
  </si>
  <si>
    <t>N:P Ratio Target</t>
  </si>
  <si>
    <t>N:P Ratio Minimum</t>
  </si>
  <si>
    <t>N:P Ratio Maximum</t>
  </si>
  <si>
    <t>Cathode Current Collector Mass (mg)</t>
  </si>
  <si>
    <t>Cathode Active Material Mass Fraction</t>
  </si>
  <si>
    <t>Anode Active Material Mass Fraction</t>
  </si>
  <si>
    <t>Anode Current Collector Mass (mg)</t>
  </si>
  <si>
    <t>Bottom Electrode</t>
  </si>
  <si>
    <t>R2032</t>
  </si>
  <si>
    <t>Al-R2032</t>
  </si>
  <si>
    <t>Electrolyte Amount Before Separator (uL)</t>
  </si>
  <si>
    <t>Electrolyte Amount After Separator (uL)</t>
  </si>
  <si>
    <t>Celgard 2320</t>
  </si>
  <si>
    <t>Electrolyte1</t>
  </si>
  <si>
    <t>Electrolyte2</t>
  </si>
  <si>
    <t>Electrolyte3</t>
  </si>
  <si>
    <t>Electrolyte4</t>
  </si>
  <si>
    <t>Anode1</t>
  </si>
  <si>
    <t>Some anode</t>
  </si>
  <si>
    <t>Anode2</t>
  </si>
  <si>
    <t>Some other anode</t>
  </si>
  <si>
    <t>Cathode1</t>
  </si>
  <si>
    <t>Cathode2</t>
  </si>
  <si>
    <t>Some cathode</t>
  </si>
  <si>
    <t>Some other cathode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</si>
</sst>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0"/>
      <color theme="1"/>
      <name val="Segoe UI"/>
      <family val="2"/>
      <charset val="1"/>
    </font>
    <font>
      <b/>
      <sz val="10"/>
      <color theme="1"/>
      <name val="Segoe UI"/>
      <family val="2"/>
      <charset val="1"/>
    </font>
    <font>
      <sz val="10"/>
      <name val="Arial"/>
      <family val="2"/>
    </font>
    <font>
      <sz val="8"/>
      <name val="Segoe U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79989013336588644"/>
        <bgColor rgb="FFF2F2F2"/>
      </patternFill>
    </fill>
    <fill>
      <patternFill patternType="solid">
        <fgColor theme="0" tint="-4.9989318521683403E-2"/>
        <bgColor rgb="FFE2F0D9"/>
      </patternFill>
    </fill>
    <fill>
      <patternFill patternType="solid">
        <fgColor theme="0" tint="-0.14999847407452621"/>
        <bgColor rgb="FFE2F0D9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0" fillId="0" borderId="4" xfId="0" applyBorder="1"/>
    <xf numFmtId="0" fontId="1" fillId="3" borderId="5" xfId="0" applyFont="1" applyFill="1" applyBorder="1" applyAlignment="1">
      <alignment horizontal="center"/>
    </xf>
    <xf numFmtId="49" fontId="0" fillId="0" borderId="0" xfId="0" applyNumberFormat="1" applyAlignment="1">
      <alignment horizontal="left"/>
    </xf>
    <xf numFmtId="164" fontId="0" fillId="0" borderId="0" xfId="0" applyNumberFormat="1"/>
    <xf numFmtId="1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165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0" fillId="0" borderId="7" xfId="0" applyBorder="1"/>
    <xf numFmtId="0" fontId="0" fillId="2" borderId="8" xfId="0" applyFill="1" applyBorder="1"/>
    <xf numFmtId="0" fontId="1" fillId="2" borderId="7" xfId="0" applyFont="1" applyFill="1" applyBorder="1"/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left" wrapText="1"/>
    </xf>
    <xf numFmtId="0" fontId="1" fillId="2" borderId="11" xfId="0" applyFont="1" applyFill="1" applyBorder="1" applyAlignment="1">
      <alignment horizontal="left" wrapText="1"/>
    </xf>
    <xf numFmtId="0" fontId="1" fillId="2" borderId="12" xfId="0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0" fontId="0" fillId="4" borderId="13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10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49" fontId="0" fillId="0" borderId="0" xfId="0" applyNumberFormat="1"/>
    <xf numFmtId="0" fontId="0" fillId="4" borderId="14" xfId="0" applyFill="1" applyBorder="1" applyAlignment="1">
      <alignment horizontal="left"/>
    </xf>
    <xf numFmtId="0" fontId="1" fillId="2" borderId="15" xfId="0" applyFont="1" applyFill="1" applyBorder="1" applyAlignment="1">
      <alignment horizontal="left" wrapText="1"/>
    </xf>
    <xf numFmtId="49" fontId="0" fillId="0" borderId="4" xfId="0" applyNumberFormat="1" applyBorder="1" applyAlignment="1">
      <alignment horizontal="left"/>
    </xf>
    <xf numFmtId="164" fontId="0" fillId="0" borderId="10" xfId="0" applyNumberFormat="1" applyBorder="1" applyAlignment="1">
      <alignment horizontal="left"/>
    </xf>
    <xf numFmtId="165" fontId="0" fillId="0" borderId="10" xfId="0" applyNumberFormat="1" applyBorder="1" applyAlignment="1">
      <alignment horizontal="left"/>
    </xf>
    <xf numFmtId="0" fontId="0" fillId="0" borderId="13" xfId="0" applyBorder="1"/>
    <xf numFmtId="0" fontId="0" fillId="0" borderId="17" xfId="0" applyBorder="1"/>
    <xf numFmtId="0" fontId="0" fillId="0" borderId="10" xfId="0" applyBorder="1"/>
    <xf numFmtId="0" fontId="0" fillId="0" borderId="14" xfId="0" applyBorder="1"/>
    <xf numFmtId="49" fontId="0" fillId="0" borderId="16" xfId="0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165" fontId="0" fillId="0" borderId="7" xfId="0" applyNumberFormat="1" applyBorder="1" applyAlignment="1">
      <alignment horizontal="left"/>
    </xf>
    <xf numFmtId="164" fontId="0" fillId="0" borderId="7" xfId="0" applyNumberFormat="1" applyBorder="1" applyAlignment="1">
      <alignment horizontal="left"/>
    </xf>
    <xf numFmtId="2" fontId="0" fillId="0" borderId="7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13" xfId="0" applyNumberFormat="1" applyBorder="1" applyAlignment="1">
      <alignment horizontal="left"/>
    </xf>
    <xf numFmtId="49" fontId="0" fillId="0" borderId="17" xfId="0" applyNumberFormat="1" applyBorder="1" applyAlignment="1">
      <alignment horizontal="left"/>
    </xf>
    <xf numFmtId="2" fontId="0" fillId="0" borderId="10" xfId="0" applyNumberFormat="1" applyBorder="1" applyAlignment="1">
      <alignment horizontal="left"/>
    </xf>
    <xf numFmtId="165" fontId="0" fillId="0" borderId="14" xfId="0" applyNumberFormat="1" applyBorder="1" applyAlignment="1">
      <alignment horizontal="left"/>
    </xf>
    <xf numFmtId="0" fontId="1" fillId="3" borderId="8" xfId="0" applyFont="1" applyFill="1" applyBorder="1" applyAlignment="1">
      <alignment horizontal="center"/>
    </xf>
    <xf numFmtId="0" fontId="0" fillId="4" borderId="7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0" xfId="0" applyFill="1" applyAlignment="1">
      <alignment horizontal="left"/>
    </xf>
    <xf numFmtId="49" fontId="0" fillId="0" borderId="10" xfId="0" applyNumberFormat="1" applyBorder="1"/>
    <xf numFmtId="0" fontId="0" fillId="5" borderId="0" xfId="0" applyFill="1" applyAlignment="1">
      <alignment horizontal="left"/>
    </xf>
    <xf numFmtId="0" fontId="1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tabSelected="1" zoomScaleNormal="100" workbookViewId="0">
      <selection activeCell="P26" sqref="P26"/>
    </sheetView>
  </sheetViews>
  <sheetFormatPr defaultColWidth="8.7109375" defaultRowHeight="14.25" x14ac:dyDescent="0.25"/>
  <cols>
    <col min="1" max="1" width="8.28515625" customWidth="1"/>
    <col min="2" max="2" width="11.5703125" bestFit="1" customWidth="1"/>
    <col min="3" max="3" width="13.28515625" bestFit="1" customWidth="1"/>
    <col min="4" max="4" width="10.85546875" customWidth="1"/>
    <col min="5" max="5" width="9.42578125" customWidth="1"/>
    <col min="6" max="6" width="10.7109375" customWidth="1"/>
    <col min="7" max="7" width="11.140625" customWidth="1"/>
    <col min="8" max="8" width="12" customWidth="1"/>
    <col min="9" max="9" width="10.28515625" customWidth="1"/>
    <col min="10" max="10" width="11.42578125" bestFit="1" customWidth="1"/>
    <col min="11" max="11" width="14.5703125" bestFit="1" customWidth="1"/>
    <col min="12" max="12" width="13.7109375" customWidth="1"/>
    <col min="14" max="14" width="11.42578125" customWidth="1"/>
    <col min="15" max="15" width="12.140625" customWidth="1"/>
    <col min="16" max="16" width="9.42578125" customWidth="1"/>
    <col min="17" max="17" width="44.5703125" customWidth="1"/>
  </cols>
  <sheetData>
    <row r="1" spans="1:18" ht="42.75" x14ac:dyDescent="0.25">
      <c r="A1" s="1" t="s">
        <v>0</v>
      </c>
      <c r="B1" s="2" t="s">
        <v>1</v>
      </c>
      <c r="C1" s="2" t="s">
        <v>2</v>
      </c>
      <c r="D1" s="2" t="s">
        <v>58</v>
      </c>
      <c r="E1" s="2" t="s">
        <v>51</v>
      </c>
      <c r="F1" s="2" t="s">
        <v>52</v>
      </c>
      <c r="G1" s="2" t="s">
        <v>53</v>
      </c>
      <c r="H1" s="2" t="s">
        <v>39</v>
      </c>
      <c r="I1" s="2" t="s">
        <v>4</v>
      </c>
      <c r="J1" s="2" t="s">
        <v>5</v>
      </c>
      <c r="K1" s="2" t="s">
        <v>61</v>
      </c>
      <c r="L1" s="2" t="s">
        <v>62</v>
      </c>
      <c r="M1" s="2" t="s">
        <v>6</v>
      </c>
      <c r="N1" s="2" t="s">
        <v>49</v>
      </c>
      <c r="O1" s="2" t="s">
        <v>50</v>
      </c>
      <c r="P1" s="2" t="s">
        <v>7</v>
      </c>
      <c r="Q1" s="3" t="s">
        <v>8</v>
      </c>
      <c r="R1" s="4"/>
    </row>
    <row r="2" spans="1:18" x14ac:dyDescent="0.25">
      <c r="A2" s="5">
        <v>1</v>
      </c>
      <c r="B2" s="6" t="s">
        <v>68</v>
      </c>
      <c r="C2" s="6" t="s">
        <v>72</v>
      </c>
      <c r="D2" s="6" t="s">
        <v>41</v>
      </c>
      <c r="E2" s="7">
        <v>1.1000000000000001</v>
      </c>
      <c r="F2" s="7">
        <v>1</v>
      </c>
      <c r="G2" s="7">
        <v>1.2</v>
      </c>
      <c r="H2" s="6" t="s">
        <v>63</v>
      </c>
      <c r="I2" s="8">
        <v>1</v>
      </c>
      <c r="J2" s="9" t="str">
        <f>VLOOKUP(I2,'Electrolyte Properties'!$A$3:$B$13,2,0)</f>
        <v>Electrolyte1</v>
      </c>
      <c r="K2" s="10">
        <v>15</v>
      </c>
      <c r="L2" s="10">
        <v>15</v>
      </c>
      <c r="M2" s="6" t="s">
        <v>47</v>
      </c>
      <c r="N2" s="8" t="s">
        <v>35</v>
      </c>
      <c r="O2" s="8" t="s">
        <v>36</v>
      </c>
      <c r="P2" s="8">
        <v>1</v>
      </c>
      <c r="Q2" s="6"/>
      <c r="R2" s="4"/>
    </row>
    <row r="3" spans="1:18" x14ac:dyDescent="0.25">
      <c r="A3" s="5">
        <v>2</v>
      </c>
      <c r="B3" s="6" t="s">
        <v>68</v>
      </c>
      <c r="C3" s="6" t="s">
        <v>72</v>
      </c>
      <c r="D3" s="6" t="s">
        <v>41</v>
      </c>
      <c r="E3" s="7">
        <v>1.1000000000000001</v>
      </c>
      <c r="F3" s="7">
        <v>1</v>
      </c>
      <c r="G3" s="7">
        <v>1.2</v>
      </c>
      <c r="H3" s="6" t="s">
        <v>63</v>
      </c>
      <c r="I3" s="8">
        <v>1</v>
      </c>
      <c r="J3" s="9" t="str">
        <f>VLOOKUP(I3,'Electrolyte Properties'!$A$3:$B$13,2,0)</f>
        <v>Electrolyte1</v>
      </c>
      <c r="K3" s="10">
        <v>15</v>
      </c>
      <c r="L3" s="10">
        <v>15</v>
      </c>
      <c r="M3" s="6" t="s">
        <v>47</v>
      </c>
      <c r="N3" s="8" t="s">
        <v>35</v>
      </c>
      <c r="O3" s="8" t="s">
        <v>36</v>
      </c>
      <c r="P3" s="8">
        <v>1</v>
      </c>
      <c r="Q3" s="6"/>
      <c r="R3" s="4"/>
    </row>
    <row r="4" spans="1:18" x14ac:dyDescent="0.25">
      <c r="A4" s="5">
        <v>3</v>
      </c>
      <c r="B4" s="6" t="s">
        <v>68</v>
      </c>
      <c r="C4" s="6" t="s">
        <v>72</v>
      </c>
      <c r="D4" s="6" t="s">
        <v>41</v>
      </c>
      <c r="E4" s="7">
        <v>1.1000000000000001</v>
      </c>
      <c r="F4" s="7">
        <v>1</v>
      </c>
      <c r="G4" s="7">
        <v>1.2</v>
      </c>
      <c r="H4" s="6" t="s">
        <v>63</v>
      </c>
      <c r="I4" s="8">
        <v>1</v>
      </c>
      <c r="J4" s="9" t="str">
        <f>VLOOKUP(I4,'Electrolyte Properties'!$A$3:$B$13,2,0)</f>
        <v>Electrolyte1</v>
      </c>
      <c r="K4" s="10">
        <v>15</v>
      </c>
      <c r="L4" s="10">
        <v>15</v>
      </c>
      <c r="M4" s="6" t="s">
        <v>47</v>
      </c>
      <c r="N4" s="8" t="s">
        <v>35</v>
      </c>
      <c r="O4" s="8" t="s">
        <v>36</v>
      </c>
      <c r="P4" s="8">
        <v>1</v>
      </c>
      <c r="Q4" s="6"/>
      <c r="R4" s="4"/>
    </row>
    <row r="5" spans="1:18" x14ac:dyDescent="0.25">
      <c r="A5" s="5">
        <v>4</v>
      </c>
      <c r="B5" s="6" t="s">
        <v>68</v>
      </c>
      <c r="C5" s="6" t="s">
        <v>72</v>
      </c>
      <c r="D5" s="6" t="s">
        <v>41</v>
      </c>
      <c r="E5" s="7">
        <v>1.1000000000000001</v>
      </c>
      <c r="F5" s="7">
        <v>1</v>
      </c>
      <c r="G5" s="7">
        <v>1.2</v>
      </c>
      <c r="H5" s="6" t="s">
        <v>63</v>
      </c>
      <c r="I5" s="8">
        <v>1</v>
      </c>
      <c r="J5" s="9" t="str">
        <f>VLOOKUP(I5,'Electrolyte Properties'!$A$3:$B$13,2,0)</f>
        <v>Electrolyte1</v>
      </c>
      <c r="K5" s="10">
        <v>15</v>
      </c>
      <c r="L5" s="10">
        <v>15</v>
      </c>
      <c r="M5" s="6" t="s">
        <v>47</v>
      </c>
      <c r="N5" s="8" t="s">
        <v>35</v>
      </c>
      <c r="O5" s="8" t="s">
        <v>36</v>
      </c>
      <c r="P5" s="8">
        <v>1</v>
      </c>
      <c r="Q5" s="6"/>
      <c r="R5" s="4"/>
    </row>
    <row r="6" spans="1:18" x14ac:dyDescent="0.25">
      <c r="A6" s="5">
        <v>5</v>
      </c>
      <c r="B6" s="6" t="s">
        <v>68</v>
      </c>
      <c r="C6" s="6" t="s">
        <v>72</v>
      </c>
      <c r="D6" s="6" t="s">
        <v>41</v>
      </c>
      <c r="E6" s="7">
        <v>1.1000000000000001</v>
      </c>
      <c r="F6" s="7">
        <v>1</v>
      </c>
      <c r="G6" s="7">
        <v>1.2</v>
      </c>
      <c r="H6" s="6" t="s">
        <v>63</v>
      </c>
      <c r="I6" s="8">
        <v>1</v>
      </c>
      <c r="J6" s="9" t="str">
        <f>VLOOKUP(I6,'Electrolyte Properties'!$A$3:$B$13,2,0)</f>
        <v>Electrolyte1</v>
      </c>
      <c r="K6" s="10">
        <v>15</v>
      </c>
      <c r="L6" s="10">
        <v>15</v>
      </c>
      <c r="M6" s="6" t="s">
        <v>47</v>
      </c>
      <c r="N6" s="8" t="s">
        <v>35</v>
      </c>
      <c r="O6" s="8" t="s">
        <v>36</v>
      </c>
      <c r="P6" s="8">
        <v>1</v>
      </c>
      <c r="Q6" s="6"/>
      <c r="R6" s="4"/>
    </row>
    <row r="7" spans="1:18" x14ac:dyDescent="0.25">
      <c r="A7" s="5">
        <v>6</v>
      </c>
      <c r="B7" s="6" t="s">
        <v>68</v>
      </c>
      <c r="C7" s="6" t="s">
        <v>72</v>
      </c>
      <c r="D7" s="6" t="s">
        <v>41</v>
      </c>
      <c r="E7" s="7">
        <v>1.1000000000000001</v>
      </c>
      <c r="F7" s="7">
        <v>1</v>
      </c>
      <c r="G7" s="7">
        <v>1.2</v>
      </c>
      <c r="H7" s="6" t="s">
        <v>63</v>
      </c>
      <c r="I7" s="8">
        <v>2</v>
      </c>
      <c r="J7" s="9" t="str">
        <f>VLOOKUP(I7,'Electrolyte Properties'!$A$3:$B$13,2,0)</f>
        <v>Electrolyte2</v>
      </c>
      <c r="K7" s="10">
        <v>15</v>
      </c>
      <c r="L7" s="10">
        <v>15</v>
      </c>
      <c r="M7" s="6" t="s">
        <v>47</v>
      </c>
      <c r="N7" s="8" t="s">
        <v>35</v>
      </c>
      <c r="O7" s="8" t="s">
        <v>36</v>
      </c>
      <c r="P7" s="8">
        <v>1</v>
      </c>
      <c r="Q7" s="6"/>
      <c r="R7" s="4"/>
    </row>
    <row r="8" spans="1:18" x14ac:dyDescent="0.25">
      <c r="A8" s="5">
        <v>7</v>
      </c>
      <c r="B8" s="6" t="s">
        <v>68</v>
      </c>
      <c r="C8" s="6" t="s">
        <v>72</v>
      </c>
      <c r="D8" s="6" t="s">
        <v>41</v>
      </c>
      <c r="E8" s="7">
        <v>1.1000000000000001</v>
      </c>
      <c r="F8" s="7">
        <v>1</v>
      </c>
      <c r="G8" s="7">
        <v>1.2</v>
      </c>
      <c r="H8" s="6" t="s">
        <v>63</v>
      </c>
      <c r="I8" s="8">
        <v>2</v>
      </c>
      <c r="J8" s="9" t="str">
        <f>VLOOKUP(I8,'Electrolyte Properties'!$A$3:$B$13,2,0)</f>
        <v>Electrolyte2</v>
      </c>
      <c r="K8" s="10">
        <v>15</v>
      </c>
      <c r="L8" s="10">
        <v>15</v>
      </c>
      <c r="M8" s="6" t="s">
        <v>47</v>
      </c>
      <c r="N8" s="8" t="s">
        <v>35</v>
      </c>
      <c r="O8" s="8" t="s">
        <v>36</v>
      </c>
      <c r="P8" s="8">
        <v>1</v>
      </c>
      <c r="Q8" s="6"/>
      <c r="R8" s="4"/>
    </row>
    <row r="9" spans="1:18" x14ac:dyDescent="0.25">
      <c r="A9" s="5">
        <v>8</v>
      </c>
      <c r="B9" s="6" t="s">
        <v>68</v>
      </c>
      <c r="C9" s="6" t="s">
        <v>72</v>
      </c>
      <c r="D9" s="6" t="s">
        <v>41</v>
      </c>
      <c r="E9" s="7">
        <v>1.1000000000000001</v>
      </c>
      <c r="F9" s="7">
        <v>1</v>
      </c>
      <c r="G9" s="7">
        <v>1.2</v>
      </c>
      <c r="H9" s="6" t="s">
        <v>63</v>
      </c>
      <c r="I9" s="8">
        <v>2</v>
      </c>
      <c r="J9" s="9" t="str">
        <f>VLOOKUP(I9,'Electrolyte Properties'!$A$3:$B$13,2,0)</f>
        <v>Electrolyte2</v>
      </c>
      <c r="K9" s="10">
        <v>15</v>
      </c>
      <c r="L9" s="10">
        <v>15</v>
      </c>
      <c r="M9" s="6" t="s">
        <v>47</v>
      </c>
      <c r="N9" s="8" t="s">
        <v>35</v>
      </c>
      <c r="O9" s="8" t="s">
        <v>36</v>
      </c>
      <c r="P9" s="8">
        <v>1</v>
      </c>
      <c r="Q9" s="6"/>
      <c r="R9" s="4"/>
    </row>
    <row r="10" spans="1:18" x14ac:dyDescent="0.25">
      <c r="A10" s="5">
        <v>9</v>
      </c>
      <c r="B10" s="6" t="s">
        <v>68</v>
      </c>
      <c r="C10" s="6" t="s">
        <v>72</v>
      </c>
      <c r="D10" s="6" t="s">
        <v>41</v>
      </c>
      <c r="E10" s="7">
        <v>1.1000000000000001</v>
      </c>
      <c r="F10" s="7">
        <v>1</v>
      </c>
      <c r="G10" s="7">
        <v>1.2</v>
      </c>
      <c r="H10" s="6" t="s">
        <v>63</v>
      </c>
      <c r="I10" s="8">
        <v>2</v>
      </c>
      <c r="J10" s="9" t="str">
        <f>VLOOKUP(I10,'Electrolyte Properties'!$A$3:$B$13,2,0)</f>
        <v>Electrolyte2</v>
      </c>
      <c r="K10" s="10">
        <v>15</v>
      </c>
      <c r="L10" s="10">
        <v>15</v>
      </c>
      <c r="M10" s="6" t="s">
        <v>47</v>
      </c>
      <c r="N10" s="8" t="s">
        <v>35</v>
      </c>
      <c r="O10" s="8" t="s">
        <v>36</v>
      </c>
      <c r="P10" s="8">
        <v>1</v>
      </c>
      <c r="Q10" s="6"/>
      <c r="R10" s="4"/>
    </row>
    <row r="11" spans="1:18" x14ac:dyDescent="0.25">
      <c r="A11" s="5">
        <v>10</v>
      </c>
      <c r="B11" s="6" t="s">
        <v>70</v>
      </c>
      <c r="C11" s="6" t="s">
        <v>72</v>
      </c>
      <c r="D11" s="6" t="s">
        <v>41</v>
      </c>
      <c r="E11" s="7">
        <v>1.1000000000000001</v>
      </c>
      <c r="F11" s="7">
        <v>1</v>
      </c>
      <c r="G11" s="7">
        <v>1.2</v>
      </c>
      <c r="H11" s="6" t="s">
        <v>63</v>
      </c>
      <c r="I11" s="8">
        <v>2</v>
      </c>
      <c r="J11" s="9" t="str">
        <f>VLOOKUP(I11,'Electrolyte Properties'!$A$3:$B$13,2,0)</f>
        <v>Electrolyte2</v>
      </c>
      <c r="K11" s="10">
        <v>15</v>
      </c>
      <c r="L11" s="10">
        <v>15</v>
      </c>
      <c r="M11" s="6" t="s">
        <v>47</v>
      </c>
      <c r="N11" s="8" t="s">
        <v>35</v>
      </c>
      <c r="O11" s="8" t="s">
        <v>36</v>
      </c>
      <c r="P11" s="8">
        <v>2</v>
      </c>
      <c r="Q11" s="6"/>
      <c r="R11" s="4"/>
    </row>
    <row r="12" spans="1:18" x14ac:dyDescent="0.25">
      <c r="A12" s="5">
        <v>11</v>
      </c>
      <c r="B12" s="6" t="s">
        <v>70</v>
      </c>
      <c r="C12" s="6" t="s">
        <v>72</v>
      </c>
      <c r="D12" s="6" t="s">
        <v>41</v>
      </c>
      <c r="E12" s="7">
        <v>1.1000000000000001</v>
      </c>
      <c r="F12" s="7">
        <v>1</v>
      </c>
      <c r="G12" s="7">
        <v>1.2</v>
      </c>
      <c r="H12" s="6" t="s">
        <v>63</v>
      </c>
      <c r="I12" s="8">
        <v>2</v>
      </c>
      <c r="J12" s="9" t="str">
        <f>VLOOKUP(I12,'Electrolyte Properties'!$A$3:$B$13,2,0)</f>
        <v>Electrolyte2</v>
      </c>
      <c r="K12" s="10">
        <v>15</v>
      </c>
      <c r="L12" s="10">
        <v>15</v>
      </c>
      <c r="M12" s="6" t="s">
        <v>47</v>
      </c>
      <c r="N12" s="8" t="s">
        <v>35</v>
      </c>
      <c r="O12" s="8" t="s">
        <v>36</v>
      </c>
      <c r="P12" s="8">
        <v>2</v>
      </c>
      <c r="Q12" s="6"/>
      <c r="R12" s="4"/>
    </row>
    <row r="13" spans="1:18" x14ac:dyDescent="0.25">
      <c r="A13" s="5">
        <v>12</v>
      </c>
      <c r="B13" s="6" t="s">
        <v>70</v>
      </c>
      <c r="C13" s="6" t="s">
        <v>72</v>
      </c>
      <c r="D13" s="6" t="s">
        <v>41</v>
      </c>
      <c r="E13" s="7">
        <v>1.1000000000000001</v>
      </c>
      <c r="F13" s="7">
        <v>1</v>
      </c>
      <c r="G13" s="7">
        <v>1.2</v>
      </c>
      <c r="H13" s="6" t="s">
        <v>63</v>
      </c>
      <c r="I13" s="8">
        <v>2</v>
      </c>
      <c r="J13" s="9" t="str">
        <f>VLOOKUP(I13,'Electrolyte Properties'!$A$3:$B$13,2,0)</f>
        <v>Electrolyte2</v>
      </c>
      <c r="K13" s="10">
        <v>15</v>
      </c>
      <c r="L13" s="10">
        <v>15</v>
      </c>
      <c r="M13" s="6" t="s">
        <v>47</v>
      </c>
      <c r="N13" s="8" t="s">
        <v>35</v>
      </c>
      <c r="O13" s="8" t="s">
        <v>36</v>
      </c>
      <c r="P13" s="8">
        <v>2</v>
      </c>
      <c r="Q13" s="6"/>
      <c r="R13" s="4"/>
    </row>
    <row r="14" spans="1:18" x14ac:dyDescent="0.25">
      <c r="A14" s="5">
        <v>13</v>
      </c>
      <c r="B14" s="6" t="s">
        <v>70</v>
      </c>
      <c r="C14" s="6" t="s">
        <v>72</v>
      </c>
      <c r="D14" s="6" t="s">
        <v>41</v>
      </c>
      <c r="E14" s="7">
        <v>1.1000000000000001</v>
      </c>
      <c r="F14" s="7">
        <v>1</v>
      </c>
      <c r="G14" s="7">
        <v>1.2</v>
      </c>
      <c r="H14" s="6" t="s">
        <v>63</v>
      </c>
      <c r="I14" s="8">
        <v>2</v>
      </c>
      <c r="J14" s="9" t="str">
        <f>VLOOKUP(I14,'Electrolyte Properties'!$A$3:$B$13,2,0)</f>
        <v>Electrolyte2</v>
      </c>
      <c r="K14" s="10">
        <v>15</v>
      </c>
      <c r="L14" s="10">
        <v>15</v>
      </c>
      <c r="M14" s="6" t="s">
        <v>47</v>
      </c>
      <c r="N14" s="8" t="s">
        <v>35</v>
      </c>
      <c r="O14" s="8" t="s">
        <v>36</v>
      </c>
      <c r="P14" s="8">
        <v>2</v>
      </c>
      <c r="Q14" s="6"/>
      <c r="R14" s="4"/>
    </row>
    <row r="15" spans="1:18" x14ac:dyDescent="0.25">
      <c r="A15" s="5">
        <v>14</v>
      </c>
      <c r="B15" s="6" t="s">
        <v>70</v>
      </c>
      <c r="C15" s="6" t="s">
        <v>72</v>
      </c>
      <c r="D15" s="6" t="s">
        <v>41</v>
      </c>
      <c r="E15" s="7">
        <v>1.1000000000000001</v>
      </c>
      <c r="F15" s="7">
        <v>1</v>
      </c>
      <c r="G15" s="7">
        <v>1.2</v>
      </c>
      <c r="H15" s="6" t="s">
        <v>63</v>
      </c>
      <c r="I15" s="8">
        <v>3</v>
      </c>
      <c r="J15" s="9" t="str">
        <f>VLOOKUP(I15,'Electrolyte Properties'!$A$3:$B$13,2,0)</f>
        <v>Electrolyte3</v>
      </c>
      <c r="K15" s="10">
        <v>15</v>
      </c>
      <c r="L15" s="10">
        <v>15</v>
      </c>
      <c r="M15" s="6" t="s">
        <v>47</v>
      </c>
      <c r="N15" s="8" t="s">
        <v>35</v>
      </c>
      <c r="O15" s="8" t="s">
        <v>36</v>
      </c>
      <c r="P15" s="8">
        <v>2</v>
      </c>
      <c r="Q15" s="6"/>
      <c r="R15" s="4"/>
    </row>
    <row r="16" spans="1:18" x14ac:dyDescent="0.25">
      <c r="A16" s="5">
        <v>15</v>
      </c>
      <c r="B16" s="6" t="s">
        <v>70</v>
      </c>
      <c r="C16" s="6" t="s">
        <v>72</v>
      </c>
      <c r="D16" s="6" t="s">
        <v>41</v>
      </c>
      <c r="E16" s="7">
        <v>1.1000000000000001</v>
      </c>
      <c r="F16" s="7">
        <v>1</v>
      </c>
      <c r="G16" s="7">
        <v>1.2</v>
      </c>
      <c r="H16" s="6" t="s">
        <v>63</v>
      </c>
      <c r="I16" s="8">
        <v>3</v>
      </c>
      <c r="J16" s="9" t="str">
        <f>VLOOKUP(I16,'Electrolyte Properties'!$A$3:$B$13,2,0)</f>
        <v>Electrolyte3</v>
      </c>
      <c r="K16" s="10">
        <v>15</v>
      </c>
      <c r="L16" s="10">
        <v>15</v>
      </c>
      <c r="M16" s="6" t="s">
        <v>47</v>
      </c>
      <c r="N16" s="8" t="s">
        <v>35</v>
      </c>
      <c r="O16" s="8" t="s">
        <v>36</v>
      </c>
      <c r="P16" s="8">
        <v>2</v>
      </c>
      <c r="Q16" s="6"/>
      <c r="R16" s="4"/>
    </row>
    <row r="17" spans="1:18" x14ac:dyDescent="0.25">
      <c r="A17" s="5">
        <v>16</v>
      </c>
      <c r="B17" s="6" t="s">
        <v>70</v>
      </c>
      <c r="C17" s="6" t="s">
        <v>72</v>
      </c>
      <c r="D17" s="6" t="s">
        <v>41</v>
      </c>
      <c r="E17" s="7">
        <v>1.1000000000000001</v>
      </c>
      <c r="F17" s="7">
        <v>1</v>
      </c>
      <c r="G17" s="7">
        <v>1.2</v>
      </c>
      <c r="H17" s="6" t="s">
        <v>63</v>
      </c>
      <c r="I17" s="8">
        <v>3</v>
      </c>
      <c r="J17" s="9" t="str">
        <f>VLOOKUP(I17,'Electrolyte Properties'!$A$3:$B$13,2,0)</f>
        <v>Electrolyte3</v>
      </c>
      <c r="K17" s="10">
        <v>15</v>
      </c>
      <c r="L17" s="10">
        <v>15</v>
      </c>
      <c r="M17" s="6" t="s">
        <v>47</v>
      </c>
      <c r="N17" s="8" t="s">
        <v>35</v>
      </c>
      <c r="O17" s="8" t="s">
        <v>36</v>
      </c>
      <c r="P17" s="8">
        <v>2</v>
      </c>
      <c r="Q17" s="6"/>
      <c r="R17" s="4"/>
    </row>
    <row r="18" spans="1:18" x14ac:dyDescent="0.25">
      <c r="A18" s="5">
        <v>17</v>
      </c>
      <c r="B18" s="6" t="s">
        <v>70</v>
      </c>
      <c r="C18" s="6" t="s">
        <v>73</v>
      </c>
      <c r="D18" s="6" t="s">
        <v>41</v>
      </c>
      <c r="E18" s="7">
        <v>1.1000000000000001</v>
      </c>
      <c r="F18" s="7">
        <v>1</v>
      </c>
      <c r="G18" s="7">
        <v>1.2</v>
      </c>
      <c r="H18" s="6" t="s">
        <v>63</v>
      </c>
      <c r="I18" s="8">
        <v>3</v>
      </c>
      <c r="J18" s="9" t="str">
        <f>VLOOKUP(I18,'Electrolyte Properties'!$A$3:$B$13,2,0)</f>
        <v>Electrolyte3</v>
      </c>
      <c r="K18" s="10">
        <v>15</v>
      </c>
      <c r="L18" s="10">
        <v>15</v>
      </c>
      <c r="M18" s="6" t="s">
        <v>47</v>
      </c>
      <c r="N18" s="8" t="s">
        <v>35</v>
      </c>
      <c r="O18" s="8" t="s">
        <v>36</v>
      </c>
      <c r="P18" s="8">
        <v>3</v>
      </c>
      <c r="Q18" s="6"/>
      <c r="R18" s="4"/>
    </row>
    <row r="19" spans="1:18" x14ac:dyDescent="0.25">
      <c r="A19" s="5">
        <v>18</v>
      </c>
      <c r="B19" s="6" t="s">
        <v>70</v>
      </c>
      <c r="C19" s="6" t="s">
        <v>73</v>
      </c>
      <c r="D19" s="6" t="s">
        <v>41</v>
      </c>
      <c r="E19" s="7">
        <v>1.1000000000000001</v>
      </c>
      <c r="F19" s="7">
        <v>1</v>
      </c>
      <c r="G19" s="7">
        <v>1.2</v>
      </c>
      <c r="H19" s="6" t="s">
        <v>63</v>
      </c>
      <c r="I19" s="8">
        <v>3</v>
      </c>
      <c r="J19" s="9" t="str">
        <f>VLOOKUP(I19,'Electrolyte Properties'!$A$3:$B$13,2,0)</f>
        <v>Electrolyte3</v>
      </c>
      <c r="K19" s="10">
        <v>15</v>
      </c>
      <c r="L19" s="10">
        <v>15</v>
      </c>
      <c r="M19" s="6" t="s">
        <v>47</v>
      </c>
      <c r="N19" s="8" t="s">
        <v>35</v>
      </c>
      <c r="O19" s="8" t="s">
        <v>36</v>
      </c>
      <c r="P19" s="8">
        <v>3</v>
      </c>
      <c r="Q19" s="6"/>
      <c r="R19" s="4"/>
    </row>
    <row r="20" spans="1:18" x14ac:dyDescent="0.25">
      <c r="A20" s="5">
        <v>19</v>
      </c>
      <c r="B20" s="6" t="s">
        <v>70</v>
      </c>
      <c r="C20" s="6" t="s">
        <v>73</v>
      </c>
      <c r="D20" s="6" t="s">
        <v>41</v>
      </c>
      <c r="E20" s="7">
        <v>1.1000000000000001</v>
      </c>
      <c r="F20" s="7">
        <v>1</v>
      </c>
      <c r="G20" s="7">
        <v>1.2</v>
      </c>
      <c r="H20" s="6" t="s">
        <v>63</v>
      </c>
      <c r="I20" s="8">
        <v>4</v>
      </c>
      <c r="J20" s="9" t="str">
        <f>VLOOKUP(I20,'Electrolyte Properties'!$A$3:$B$13,2,0)</f>
        <v>Electrolyte4</v>
      </c>
      <c r="K20" s="10">
        <v>15</v>
      </c>
      <c r="L20" s="10">
        <v>15</v>
      </c>
      <c r="M20" s="6" t="s">
        <v>47</v>
      </c>
      <c r="N20" s="8" t="s">
        <v>35</v>
      </c>
      <c r="O20" s="8" t="s">
        <v>36</v>
      </c>
      <c r="P20" s="8">
        <v>3</v>
      </c>
      <c r="Q20" s="6"/>
      <c r="R20" s="4"/>
    </row>
    <row r="21" spans="1:18" x14ac:dyDescent="0.25">
      <c r="A21" s="5">
        <v>20</v>
      </c>
      <c r="B21" s="6" t="s">
        <v>70</v>
      </c>
      <c r="C21" s="6" t="s">
        <v>73</v>
      </c>
      <c r="D21" s="6" t="s">
        <v>41</v>
      </c>
      <c r="E21" s="7">
        <v>1.1000000000000001</v>
      </c>
      <c r="F21" s="7">
        <v>1</v>
      </c>
      <c r="G21" s="7">
        <v>1.2</v>
      </c>
      <c r="H21" s="6" t="s">
        <v>63</v>
      </c>
      <c r="I21" s="8">
        <v>4</v>
      </c>
      <c r="J21" s="9" t="str">
        <f>VLOOKUP(I21,'Electrolyte Properties'!$A$3:$B$13,2,0)</f>
        <v>Electrolyte4</v>
      </c>
      <c r="K21" s="10">
        <v>15</v>
      </c>
      <c r="L21" s="10">
        <v>15</v>
      </c>
      <c r="M21" s="6" t="s">
        <v>47</v>
      </c>
      <c r="N21" s="8" t="s">
        <v>35</v>
      </c>
      <c r="O21" s="8" t="s">
        <v>36</v>
      </c>
      <c r="P21" s="8">
        <v>3</v>
      </c>
      <c r="Q21" s="6"/>
      <c r="R21" s="4"/>
    </row>
    <row r="22" spans="1:18" x14ac:dyDescent="0.25">
      <c r="A22" s="5">
        <v>21</v>
      </c>
      <c r="B22" s="6" t="s">
        <v>70</v>
      </c>
      <c r="C22" s="6" t="s">
        <v>73</v>
      </c>
      <c r="D22" s="6" t="s">
        <v>41</v>
      </c>
      <c r="E22" s="7">
        <v>1.1000000000000001</v>
      </c>
      <c r="F22" s="7">
        <v>1</v>
      </c>
      <c r="G22" s="7">
        <v>1.2</v>
      </c>
      <c r="H22" s="6" t="s">
        <v>63</v>
      </c>
      <c r="I22" s="8">
        <v>4</v>
      </c>
      <c r="J22" s="9" t="str">
        <f>VLOOKUP(I22,'Electrolyte Properties'!$A$3:$B$13,2,0)</f>
        <v>Electrolyte4</v>
      </c>
      <c r="K22" s="10">
        <v>15</v>
      </c>
      <c r="L22" s="10">
        <v>15</v>
      </c>
      <c r="M22" s="6" t="s">
        <v>47</v>
      </c>
      <c r="N22" s="8" t="s">
        <v>35</v>
      </c>
      <c r="O22" s="8" t="s">
        <v>36</v>
      </c>
      <c r="P22" s="8">
        <v>3</v>
      </c>
      <c r="Q22" s="6"/>
      <c r="R22" s="4"/>
    </row>
    <row r="23" spans="1:18" x14ac:dyDescent="0.25">
      <c r="A23" s="5">
        <v>22</v>
      </c>
      <c r="B23" s="6" t="s">
        <v>70</v>
      </c>
      <c r="C23" s="6" t="s">
        <v>73</v>
      </c>
      <c r="D23" s="6" t="s">
        <v>41</v>
      </c>
      <c r="E23" s="7">
        <v>1.1000000000000001</v>
      </c>
      <c r="F23" s="7">
        <v>1</v>
      </c>
      <c r="G23" s="7">
        <v>1.2</v>
      </c>
      <c r="H23" s="6" t="s">
        <v>63</v>
      </c>
      <c r="I23" s="8">
        <v>4</v>
      </c>
      <c r="J23" s="9" t="str">
        <f>VLOOKUP(I23,'Electrolyte Properties'!$A$3:$B$13,2,0)</f>
        <v>Electrolyte4</v>
      </c>
      <c r="K23" s="10">
        <v>15</v>
      </c>
      <c r="L23" s="10">
        <v>15</v>
      </c>
      <c r="M23" s="6" t="s">
        <v>47</v>
      </c>
      <c r="N23" s="8" t="s">
        <v>35</v>
      </c>
      <c r="O23" s="8" t="s">
        <v>36</v>
      </c>
      <c r="P23" s="8">
        <v>3</v>
      </c>
      <c r="Q23" s="6"/>
      <c r="R23" s="4"/>
    </row>
    <row r="24" spans="1:18" x14ac:dyDescent="0.25">
      <c r="A24" s="5">
        <v>23</v>
      </c>
      <c r="B24" s="6" t="s">
        <v>70</v>
      </c>
      <c r="C24" s="6" t="s">
        <v>73</v>
      </c>
      <c r="D24" s="6" t="s">
        <v>41</v>
      </c>
      <c r="E24" s="7">
        <v>1.1000000000000001</v>
      </c>
      <c r="F24" s="7">
        <v>1</v>
      </c>
      <c r="G24" s="7">
        <v>1.2</v>
      </c>
      <c r="H24" s="6" t="s">
        <v>63</v>
      </c>
      <c r="I24" s="8">
        <v>4</v>
      </c>
      <c r="J24" s="9" t="str">
        <f>VLOOKUP(I24,'Electrolyte Properties'!$A$3:$B$13,2,0)</f>
        <v>Electrolyte4</v>
      </c>
      <c r="K24" s="10">
        <v>15</v>
      </c>
      <c r="L24" s="10">
        <v>15</v>
      </c>
      <c r="M24" s="6" t="s">
        <v>47</v>
      </c>
      <c r="N24" s="8" t="s">
        <v>35</v>
      </c>
      <c r="O24" s="8" t="s">
        <v>36</v>
      </c>
      <c r="P24" s="8">
        <v>3</v>
      </c>
      <c r="Q24" s="6"/>
      <c r="R24" s="4"/>
    </row>
    <row r="25" spans="1:18" x14ac:dyDescent="0.25">
      <c r="A25" s="5">
        <v>24</v>
      </c>
      <c r="B25" s="6" t="s">
        <v>70</v>
      </c>
      <c r="C25" s="6" t="s">
        <v>73</v>
      </c>
      <c r="D25" s="6" t="s">
        <v>41</v>
      </c>
      <c r="E25" s="7">
        <v>1.1000000000000001</v>
      </c>
      <c r="F25" s="7">
        <v>1</v>
      </c>
      <c r="G25" s="7">
        <v>1.2</v>
      </c>
      <c r="H25" s="6" t="s">
        <v>63</v>
      </c>
      <c r="I25" s="8">
        <v>4</v>
      </c>
      <c r="J25" s="9" t="str">
        <f>VLOOKUP(I25,'Electrolyte Properties'!$A$3:$B$13,2,0)</f>
        <v>Electrolyte4</v>
      </c>
      <c r="K25" s="10">
        <v>15</v>
      </c>
      <c r="L25" s="10">
        <v>15</v>
      </c>
      <c r="M25" s="6" t="s">
        <v>47</v>
      </c>
      <c r="N25" s="8" t="s">
        <v>35</v>
      </c>
      <c r="O25" s="8" t="s">
        <v>36</v>
      </c>
      <c r="P25" s="8">
        <v>3</v>
      </c>
      <c r="Q25" s="6"/>
      <c r="R25" s="4"/>
    </row>
    <row r="26" spans="1:18" x14ac:dyDescent="0.25">
      <c r="A26" s="5">
        <v>25</v>
      </c>
      <c r="B26" s="6"/>
      <c r="C26" s="6"/>
      <c r="D26" s="6"/>
      <c r="E26" s="7"/>
      <c r="F26" s="7"/>
      <c r="G26" s="7"/>
      <c r="H26" s="6"/>
      <c r="I26" s="8"/>
      <c r="J26" s="9" t="e">
        <f>VLOOKUP(I26,'Electrolyte Properties'!$A$3:$B$13,2,0)</f>
        <v>#N/A</v>
      </c>
      <c r="K26" s="10"/>
      <c r="L26" s="10"/>
      <c r="M26" s="6"/>
      <c r="N26" s="8"/>
      <c r="O26" s="8"/>
      <c r="P26" s="8"/>
      <c r="Q26" s="6"/>
      <c r="R26" s="4"/>
    </row>
    <row r="27" spans="1:18" x14ac:dyDescent="0.25">
      <c r="A27" s="5">
        <v>26</v>
      </c>
      <c r="B27" s="6"/>
      <c r="C27" s="6"/>
      <c r="D27" s="6"/>
      <c r="E27" s="7"/>
      <c r="F27" s="7"/>
      <c r="G27" s="7"/>
      <c r="H27" s="6"/>
      <c r="I27" s="8"/>
      <c r="J27" s="9" t="e">
        <f>VLOOKUP(I27,'Electrolyte Properties'!$A$3:$B$13,2,0)</f>
        <v>#N/A</v>
      </c>
      <c r="K27" s="10"/>
      <c r="L27" s="10"/>
      <c r="M27" s="6"/>
      <c r="N27" s="8"/>
      <c r="O27" s="8"/>
      <c r="P27" s="8"/>
      <c r="Q27" s="6"/>
      <c r="R27" s="4"/>
    </row>
    <row r="28" spans="1:18" x14ac:dyDescent="0.25">
      <c r="A28" s="5">
        <v>27</v>
      </c>
      <c r="B28" s="6"/>
      <c r="C28" s="6"/>
      <c r="D28" s="6"/>
      <c r="E28" s="7"/>
      <c r="F28" s="7"/>
      <c r="G28" s="7"/>
      <c r="H28" s="6"/>
      <c r="I28" s="8"/>
      <c r="J28" s="9" t="e">
        <f>VLOOKUP(I28,'Electrolyte Properties'!$A$3:$B$13,2,0)</f>
        <v>#N/A</v>
      </c>
      <c r="K28" s="10"/>
      <c r="L28" s="10"/>
      <c r="M28" s="6"/>
      <c r="N28" s="8"/>
      <c r="O28" s="8"/>
      <c r="P28" s="8"/>
      <c r="Q28" s="6"/>
      <c r="R28" s="4"/>
    </row>
    <row r="29" spans="1:18" x14ac:dyDescent="0.25">
      <c r="A29" s="5">
        <v>28</v>
      </c>
      <c r="B29" s="6"/>
      <c r="C29" s="6"/>
      <c r="D29" s="6"/>
      <c r="E29" s="7"/>
      <c r="F29" s="7"/>
      <c r="G29" s="7"/>
      <c r="H29" s="6"/>
      <c r="I29" s="8"/>
      <c r="J29" s="9" t="e">
        <f>VLOOKUP(I29,'Electrolyte Properties'!$A$3:$B$13,2,0)</f>
        <v>#N/A</v>
      </c>
      <c r="K29" s="10"/>
      <c r="L29" s="10"/>
      <c r="M29" s="6"/>
      <c r="N29" s="8"/>
      <c r="O29" s="8"/>
      <c r="P29" s="8"/>
      <c r="Q29" s="6"/>
      <c r="R29" s="4"/>
    </row>
    <row r="30" spans="1:18" x14ac:dyDescent="0.25">
      <c r="A30" s="5">
        <v>29</v>
      </c>
      <c r="B30" s="6"/>
      <c r="C30" s="6"/>
      <c r="D30" s="6"/>
      <c r="E30" s="7"/>
      <c r="F30" s="7"/>
      <c r="G30" s="7"/>
      <c r="H30" s="6"/>
      <c r="I30" s="8"/>
      <c r="J30" s="9" t="e">
        <f>VLOOKUP(I30,'Electrolyte Properties'!$A$3:$B$13,2,0)</f>
        <v>#N/A</v>
      </c>
      <c r="K30" s="10"/>
      <c r="L30" s="10"/>
      <c r="M30" s="6"/>
      <c r="N30" s="8"/>
      <c r="O30" s="8"/>
      <c r="P30" s="8"/>
      <c r="Q30" s="6"/>
      <c r="R30" s="4"/>
    </row>
    <row r="31" spans="1:18" x14ac:dyDescent="0.25">
      <c r="A31" s="5">
        <v>30</v>
      </c>
      <c r="B31" s="6"/>
      <c r="C31" s="6"/>
      <c r="D31" s="6"/>
      <c r="E31" s="7"/>
      <c r="F31" s="7"/>
      <c r="G31" s="7"/>
      <c r="H31" s="6"/>
      <c r="I31" s="8"/>
      <c r="J31" s="9" t="e">
        <f>VLOOKUP(I31,'Electrolyte Properties'!$A$3:$B$13,2,0)</f>
        <v>#N/A</v>
      </c>
      <c r="K31" s="10"/>
      <c r="L31" s="10"/>
      <c r="M31" s="6"/>
      <c r="N31" s="8"/>
      <c r="O31" s="8"/>
      <c r="P31" s="8"/>
      <c r="Q31" s="6"/>
      <c r="R31" s="4"/>
    </row>
    <row r="32" spans="1:18" x14ac:dyDescent="0.25">
      <c r="A32" s="5">
        <v>31</v>
      </c>
      <c r="B32" s="6"/>
      <c r="C32" s="6"/>
      <c r="D32" s="6"/>
      <c r="E32" s="7"/>
      <c r="F32" s="7"/>
      <c r="G32" s="7"/>
      <c r="H32" s="6"/>
      <c r="I32" s="8"/>
      <c r="J32" s="9" t="e">
        <f>VLOOKUP(I32,'Electrolyte Properties'!$A$3:$B$13,2,0)</f>
        <v>#N/A</v>
      </c>
      <c r="K32" s="10"/>
      <c r="L32" s="10"/>
      <c r="M32" s="6"/>
      <c r="N32" s="8"/>
      <c r="O32" s="8"/>
      <c r="P32" s="8"/>
      <c r="Q32" s="6"/>
      <c r="R32" s="4"/>
    </row>
    <row r="33" spans="1:18" x14ac:dyDescent="0.25">
      <c r="A33" s="5">
        <v>32</v>
      </c>
      <c r="B33" s="6"/>
      <c r="C33" s="6"/>
      <c r="D33" s="6"/>
      <c r="E33" s="7"/>
      <c r="F33" s="7"/>
      <c r="G33" s="7"/>
      <c r="H33" s="6"/>
      <c r="I33" s="8"/>
      <c r="J33" s="9" t="e">
        <f>VLOOKUP(I33,'Electrolyte Properties'!$A$3:$B$13,2,0)</f>
        <v>#N/A</v>
      </c>
      <c r="K33" s="10"/>
      <c r="L33" s="10"/>
      <c r="M33" s="6"/>
      <c r="N33" s="8"/>
      <c r="O33" s="8"/>
      <c r="P33" s="8"/>
      <c r="Q33" s="6"/>
      <c r="R33" s="4"/>
    </row>
    <row r="34" spans="1:18" x14ac:dyDescent="0.25">
      <c r="A34" s="5">
        <v>33</v>
      </c>
      <c r="B34" s="6"/>
      <c r="C34" s="6"/>
      <c r="D34" s="6"/>
      <c r="E34" s="7"/>
      <c r="F34" s="7"/>
      <c r="G34" s="7"/>
      <c r="H34" s="6"/>
      <c r="I34" s="8"/>
      <c r="J34" s="9" t="e">
        <f>VLOOKUP(I34,'Electrolyte Properties'!$A$3:$B$13,2,0)</f>
        <v>#N/A</v>
      </c>
      <c r="K34" s="10"/>
      <c r="L34" s="10"/>
      <c r="M34" s="6"/>
      <c r="N34" s="8"/>
      <c r="O34" s="8"/>
      <c r="P34" s="8"/>
      <c r="Q34" s="6"/>
      <c r="R34" s="4"/>
    </row>
    <row r="35" spans="1:18" x14ac:dyDescent="0.25">
      <c r="A35" s="5">
        <v>34</v>
      </c>
      <c r="B35" s="6"/>
      <c r="C35" s="6"/>
      <c r="D35" s="6"/>
      <c r="E35" s="7"/>
      <c r="F35" s="7"/>
      <c r="G35" s="7"/>
      <c r="H35" s="6"/>
      <c r="I35" s="8"/>
      <c r="J35" s="9" t="e">
        <f>VLOOKUP(I35,'Electrolyte Properties'!$A$3:$B$13,2,0)</f>
        <v>#N/A</v>
      </c>
      <c r="K35" s="10"/>
      <c r="L35" s="10"/>
      <c r="M35" s="6"/>
      <c r="N35" s="8"/>
      <c r="O35" s="8"/>
      <c r="P35" s="8"/>
      <c r="Q35" s="6"/>
      <c r="R35" s="4"/>
    </row>
    <row r="36" spans="1:18" x14ac:dyDescent="0.25">
      <c r="A36" s="5">
        <v>35</v>
      </c>
      <c r="B36" s="6"/>
      <c r="C36" s="6"/>
      <c r="D36" s="6"/>
      <c r="E36" s="7"/>
      <c r="F36" s="7"/>
      <c r="G36" s="7"/>
      <c r="H36" s="6"/>
      <c r="I36" s="8"/>
      <c r="J36" s="9" t="e">
        <f>VLOOKUP(I36,'Electrolyte Properties'!$A$3:$B$13,2,0)</f>
        <v>#N/A</v>
      </c>
      <c r="K36" s="10"/>
      <c r="L36" s="10"/>
      <c r="M36" s="6"/>
      <c r="N36" s="8"/>
      <c r="O36" s="8"/>
      <c r="P36" s="8"/>
      <c r="Q36" s="6"/>
      <c r="R36" s="4"/>
    </row>
    <row r="37" spans="1:18" x14ac:dyDescent="0.25">
      <c r="A37" s="11">
        <v>36</v>
      </c>
      <c r="B37" s="6"/>
      <c r="C37" s="6"/>
      <c r="D37" s="6"/>
      <c r="E37" s="7"/>
      <c r="F37" s="7"/>
      <c r="G37" s="7"/>
      <c r="H37" s="6"/>
      <c r="I37" s="8"/>
      <c r="J37" s="9" t="e">
        <f>VLOOKUP(I37,'Electrolyte Properties'!$A$3:$B$13,2,0)</f>
        <v>#N/A</v>
      </c>
      <c r="K37" s="10"/>
      <c r="L37" s="10"/>
      <c r="M37" s="6"/>
      <c r="N37" s="8"/>
      <c r="O37" s="8"/>
      <c r="P37" s="8"/>
      <c r="Q37" s="6"/>
      <c r="R37" s="4"/>
    </row>
    <row r="38" spans="1:18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</sheetData>
  <phoneticPr fontId="3" type="noConversion"/>
  <dataValidations count="2">
    <dataValidation type="decimal" allowBlank="1" showInputMessage="1" showErrorMessage="1" sqref="K2:L37" xr:uid="{00000000-0002-0000-0000-000000000000}">
      <formula1>0</formula1>
      <formula2>200</formula2>
    </dataValidation>
    <dataValidation type="list" allowBlank="1" showInputMessage="1" showErrorMessage="1" errorTitle="Invalid value" error="You must pick either Anode or Cathode first" sqref="D2:D37" xr:uid="{418F807C-51D7-48CD-B122-5CC1A31ED5F2}">
      <formula1>"Anode, Cathode"</formula1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CBAA3C3-13A2-454F-AC6F-44A22C5D9F3D}">
          <x14:formula1>
            <xm:f>'Component Properties'!$Q$2:$Q$37</xm:f>
          </x14:formula1>
          <xm:sqref>N2:O37</xm:sqref>
        </x14:dataValidation>
        <x14:dataValidation type="list" allowBlank="1" showInputMessage="1" showErrorMessage="1" errorTitle="Invalid Anode" error="You must pick an Anode defined in the Electrode Properties sheet." xr:uid="{00000000-0002-0000-0000-000001000000}">
          <x14:formula1>
            <xm:f>'Component Properties'!$A$2:$A$37</xm:f>
          </x14:formula1>
          <x14:formula2>
            <xm:f>0</xm:f>
          </x14:formula2>
          <xm:sqref>B2:B37</xm:sqref>
        </x14:dataValidation>
        <x14:dataValidation type="list" allowBlank="1" showInputMessage="1" showErrorMessage="1" errorTitle="Invalid Cathode Type" error="You must pick a Cathode Type that is defined in the Electrode Properties table." xr:uid="{00000000-0002-0000-0000-000002000000}">
          <x14:formula1>
            <xm:f>'Component Properties'!$I$2:$I$37</xm:f>
          </x14:formula1>
          <x14:formula2>
            <xm:f>0</xm:f>
          </x14:formula2>
          <xm:sqref>C2:C37</xm:sqref>
        </x14:dataValidation>
        <x14:dataValidation type="list" allowBlank="1" showInputMessage="1" showErrorMessage="1" errorTitle="Uh oh" error="You need to pick a separator from the component properties tab" xr:uid="{EFCEB68F-D743-42FC-87ED-F988DF571A64}">
          <x14:formula1>
            <xm:f>'Component Properties'!$U$2:$U$37</xm:f>
          </x14:formula1>
          <xm:sqref>H2:H37</xm:sqref>
        </x14:dataValidation>
        <x14:dataValidation type="list" allowBlank="1" showInputMessage="1" showErrorMessage="1" errorTitle="Aw snap" error="You need to pick a casing available in the components tab" xr:uid="{90E09371-138F-4B91-ACB1-5D247433244C}">
          <x14:formula1>
            <xm:f>'Component Properties'!$X$2:$X$37</xm:f>
          </x14:formula1>
          <xm:sqref>M2:M37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"/>
  <sheetViews>
    <sheetView zoomScaleNormal="100" workbookViewId="0">
      <selection activeCell="F8" sqref="F8"/>
    </sheetView>
  </sheetViews>
  <sheetFormatPr defaultColWidth="8.7109375" defaultRowHeight="14.25" x14ac:dyDescent="0.25"/>
  <cols>
    <col min="1" max="1" width="10.28515625" customWidth="1"/>
    <col min="2" max="2" width="17.28515625" customWidth="1"/>
    <col min="3" max="3" width="42.7109375" customWidth="1"/>
    <col min="4" max="14" width="7.5703125" customWidth="1"/>
  </cols>
  <sheetData>
    <row r="1" spans="1:15" x14ac:dyDescent="0.25">
      <c r="A1" s="13"/>
      <c r="B1" s="14"/>
      <c r="C1" s="14"/>
      <c r="D1" s="51" t="s">
        <v>10</v>
      </c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5" ht="29.25" thickBot="1" x14ac:dyDescent="0.3">
      <c r="A2" s="15" t="s">
        <v>4</v>
      </c>
      <c r="B2" s="16" t="s">
        <v>11</v>
      </c>
      <c r="C2" s="16" t="s">
        <v>12</v>
      </c>
      <c r="D2" s="17" t="s">
        <v>13</v>
      </c>
      <c r="E2" s="17" t="s">
        <v>14</v>
      </c>
      <c r="F2" s="17" t="s">
        <v>15</v>
      </c>
      <c r="G2" s="17" t="s">
        <v>16</v>
      </c>
      <c r="H2" s="17" t="s">
        <v>17</v>
      </c>
      <c r="I2" s="17" t="s">
        <v>18</v>
      </c>
      <c r="J2" s="17" t="s">
        <v>19</v>
      </c>
      <c r="K2" s="17" t="s">
        <v>20</v>
      </c>
      <c r="L2" s="17" t="s">
        <v>21</v>
      </c>
      <c r="M2" s="17" t="s">
        <v>22</v>
      </c>
      <c r="N2" s="18" t="s">
        <v>23</v>
      </c>
      <c r="O2" s="19"/>
    </row>
    <row r="3" spans="1:15" x14ac:dyDescent="0.25">
      <c r="A3" s="45">
        <v>1</v>
      </c>
      <c r="B3" s="35" t="s">
        <v>64</v>
      </c>
      <c r="C3" s="35"/>
      <c r="D3" s="46"/>
      <c r="E3" s="46"/>
      <c r="F3" s="46"/>
      <c r="G3" s="46"/>
      <c r="H3" s="46"/>
      <c r="I3" s="46"/>
      <c r="J3" s="46"/>
      <c r="K3" s="46"/>
      <c r="L3" s="46"/>
      <c r="M3" s="46"/>
      <c r="N3" s="47"/>
      <c r="O3" s="21"/>
    </row>
    <row r="4" spans="1:15" x14ac:dyDescent="0.25">
      <c r="A4" s="5">
        <v>2</v>
      </c>
      <c r="B4" s="6" t="s">
        <v>65</v>
      </c>
      <c r="C4" s="6"/>
      <c r="D4" s="21"/>
      <c r="E4" s="50"/>
      <c r="F4" s="48"/>
      <c r="G4" s="48"/>
      <c r="H4" s="48"/>
      <c r="I4" s="48"/>
      <c r="J4" s="48"/>
      <c r="K4" s="48"/>
      <c r="L4" s="48"/>
      <c r="M4" s="48"/>
      <c r="N4" s="20"/>
      <c r="O4" s="21"/>
    </row>
    <row r="5" spans="1:15" x14ac:dyDescent="0.25">
      <c r="A5" s="5">
        <v>3</v>
      </c>
      <c r="B5" s="6" t="s">
        <v>66</v>
      </c>
      <c r="C5" s="6"/>
      <c r="D5" s="21">
        <v>1</v>
      </c>
      <c r="E5" s="21">
        <v>1</v>
      </c>
      <c r="F5" s="48"/>
      <c r="G5" s="48"/>
      <c r="H5" s="48"/>
      <c r="I5" s="48"/>
      <c r="J5" s="48"/>
      <c r="K5" s="48"/>
      <c r="L5" s="48"/>
      <c r="M5" s="48"/>
      <c r="N5" s="20"/>
      <c r="O5" s="21"/>
    </row>
    <row r="6" spans="1:15" x14ac:dyDescent="0.25">
      <c r="A6" s="5">
        <v>4</v>
      </c>
      <c r="B6" s="6" t="s">
        <v>67</v>
      </c>
      <c r="C6" s="6"/>
      <c r="D6" s="21">
        <v>3</v>
      </c>
      <c r="E6" s="21">
        <v>1</v>
      </c>
      <c r="F6" s="21">
        <v>1</v>
      </c>
      <c r="G6" s="48"/>
      <c r="H6" s="48"/>
      <c r="I6" s="48"/>
      <c r="J6" s="48"/>
      <c r="K6" s="48"/>
      <c r="L6" s="48"/>
      <c r="M6" s="48"/>
      <c r="N6" s="20"/>
      <c r="O6" s="21"/>
    </row>
    <row r="7" spans="1:15" x14ac:dyDescent="0.25">
      <c r="A7" s="5">
        <v>5</v>
      </c>
      <c r="B7" s="6"/>
      <c r="C7" s="6"/>
      <c r="D7" s="21"/>
      <c r="E7" s="21"/>
      <c r="F7" s="21"/>
      <c r="G7" s="21"/>
      <c r="H7" s="48"/>
      <c r="I7" s="48"/>
      <c r="J7" s="48"/>
      <c r="K7" s="48"/>
      <c r="L7" s="48"/>
      <c r="M7" s="48"/>
      <c r="N7" s="20"/>
      <c r="O7" s="21"/>
    </row>
    <row r="8" spans="1:15" x14ac:dyDescent="0.25">
      <c r="A8" s="5">
        <v>6</v>
      </c>
      <c r="B8" s="6"/>
      <c r="C8" s="6"/>
      <c r="D8" s="21"/>
      <c r="E8" s="21"/>
      <c r="F8" s="21"/>
      <c r="G8" s="21"/>
      <c r="H8" s="21"/>
      <c r="I8" s="48"/>
      <c r="J8" s="48"/>
      <c r="K8" s="48"/>
      <c r="L8" s="48"/>
      <c r="M8" s="48"/>
      <c r="N8" s="20"/>
      <c r="O8" s="21"/>
    </row>
    <row r="9" spans="1:15" x14ac:dyDescent="0.25">
      <c r="A9" s="5">
        <v>7</v>
      </c>
      <c r="B9" s="6"/>
      <c r="C9" s="6"/>
      <c r="D9" s="21"/>
      <c r="E9" s="21"/>
      <c r="F9" s="21"/>
      <c r="G9" s="21"/>
      <c r="H9" s="21"/>
      <c r="I9" s="21"/>
      <c r="J9" s="48"/>
      <c r="K9" s="48"/>
      <c r="L9" s="48"/>
      <c r="M9" s="48"/>
      <c r="N9" s="20"/>
      <c r="O9" s="21"/>
    </row>
    <row r="10" spans="1:15" x14ac:dyDescent="0.25">
      <c r="A10" s="5">
        <v>8</v>
      </c>
      <c r="B10" s="6"/>
      <c r="C10" s="6"/>
      <c r="D10" s="21"/>
      <c r="E10" s="21"/>
      <c r="F10" s="21"/>
      <c r="G10" s="21"/>
      <c r="H10" s="21"/>
      <c r="I10" s="21"/>
      <c r="J10" s="21"/>
      <c r="K10" s="48"/>
      <c r="L10" s="48"/>
      <c r="M10" s="48"/>
      <c r="N10" s="20"/>
      <c r="O10" s="21"/>
    </row>
    <row r="11" spans="1:15" x14ac:dyDescent="0.25">
      <c r="A11" s="5">
        <v>9</v>
      </c>
      <c r="B11" s="24"/>
      <c r="C11" s="24"/>
      <c r="F11" s="21"/>
      <c r="G11" s="21"/>
      <c r="H11" s="21"/>
      <c r="I11" s="21"/>
      <c r="J11" s="21"/>
      <c r="K11" s="21"/>
      <c r="L11" s="48"/>
      <c r="M11" s="48"/>
      <c r="N11" s="20"/>
      <c r="O11" s="21"/>
    </row>
    <row r="12" spans="1:15" x14ac:dyDescent="0.25">
      <c r="A12" s="5">
        <v>10</v>
      </c>
      <c r="B12" s="24"/>
      <c r="C12" s="24"/>
      <c r="F12" s="21"/>
      <c r="G12" s="21"/>
      <c r="H12" s="21"/>
      <c r="I12" s="21"/>
      <c r="J12" s="21"/>
      <c r="K12" s="21"/>
      <c r="L12" s="21"/>
      <c r="M12" s="48"/>
      <c r="N12" s="20"/>
      <c r="O12" s="21"/>
    </row>
    <row r="13" spans="1:15" ht="15" thickBot="1" x14ac:dyDescent="0.3">
      <c r="A13" s="11">
        <v>11</v>
      </c>
      <c r="B13" s="49"/>
      <c r="C13" s="49"/>
      <c r="D13" s="32"/>
      <c r="E13" s="32"/>
      <c r="F13" s="23"/>
      <c r="G13" s="23"/>
      <c r="H13" s="23"/>
      <c r="I13" s="23"/>
      <c r="J13" s="23"/>
      <c r="K13" s="23"/>
      <c r="L13" s="23"/>
      <c r="M13" s="23"/>
      <c r="N13" s="25"/>
      <c r="O13" s="21"/>
    </row>
    <row r="14" spans="1:15" x14ac:dyDescent="0.25">
      <c r="B14" s="24"/>
      <c r="C14" s="24"/>
    </row>
    <row r="15" spans="1:15" x14ac:dyDescent="0.25">
      <c r="B15" s="24"/>
      <c r="C15" s="24"/>
    </row>
    <row r="16" spans="1:15" x14ac:dyDescent="0.25">
      <c r="B16" s="24"/>
      <c r="C16" s="24"/>
    </row>
    <row r="17" spans="2:3" x14ac:dyDescent="0.25">
      <c r="B17" s="24"/>
      <c r="C17" s="24"/>
    </row>
    <row r="18" spans="2:3" x14ac:dyDescent="0.25">
      <c r="B18" s="24"/>
      <c r="C18" s="24"/>
    </row>
    <row r="19" spans="2:3" x14ac:dyDescent="0.25">
      <c r="B19" s="24"/>
      <c r="C19" s="24"/>
    </row>
    <row r="20" spans="2:3" x14ac:dyDescent="0.25">
      <c r="B20" s="24"/>
      <c r="C20" s="24"/>
    </row>
    <row r="21" spans="2:3" x14ac:dyDescent="0.25">
      <c r="B21" s="24"/>
      <c r="C21" s="24"/>
    </row>
    <row r="22" spans="2:3" x14ac:dyDescent="0.25">
      <c r="B22" s="24"/>
      <c r="C22" s="24"/>
    </row>
    <row r="23" spans="2:3" x14ac:dyDescent="0.25">
      <c r="B23" s="24"/>
      <c r="C23" s="24"/>
    </row>
    <row r="24" spans="2:3" x14ac:dyDescent="0.25">
      <c r="B24" s="24"/>
      <c r="C24" s="24"/>
    </row>
    <row r="25" spans="2:3" x14ac:dyDescent="0.25">
      <c r="B25" s="24"/>
      <c r="C25" s="24"/>
    </row>
    <row r="26" spans="2:3" x14ac:dyDescent="0.25">
      <c r="B26" s="24"/>
      <c r="C26" s="24"/>
    </row>
    <row r="27" spans="2:3" x14ac:dyDescent="0.25">
      <c r="B27" s="24"/>
      <c r="C27" s="24"/>
    </row>
    <row r="28" spans="2:3" x14ac:dyDescent="0.25">
      <c r="B28" s="24"/>
      <c r="C28" s="24"/>
    </row>
    <row r="29" spans="2:3" x14ac:dyDescent="0.25">
      <c r="B29" s="24"/>
      <c r="C29" s="24"/>
    </row>
    <row r="30" spans="2:3" x14ac:dyDescent="0.25">
      <c r="B30" s="24"/>
      <c r="C30" s="24"/>
    </row>
    <row r="31" spans="2:3" x14ac:dyDescent="0.25">
      <c r="B31" s="24"/>
      <c r="C31" s="24"/>
    </row>
    <row r="32" spans="2:3" x14ac:dyDescent="0.25">
      <c r="B32" s="24"/>
      <c r="C32" s="24"/>
    </row>
    <row r="33" spans="2:3" x14ac:dyDescent="0.25">
      <c r="B33" s="24"/>
      <c r="C33" s="24"/>
    </row>
    <row r="34" spans="2:3" x14ac:dyDescent="0.25">
      <c r="B34" s="24"/>
      <c r="C34" s="24"/>
    </row>
    <row r="35" spans="2:3" x14ac:dyDescent="0.25">
      <c r="B35" s="24"/>
      <c r="C35" s="24"/>
    </row>
    <row r="36" spans="2:3" x14ac:dyDescent="0.25">
      <c r="B36" s="24"/>
      <c r="C36" s="24"/>
    </row>
  </sheetData>
  <mergeCells count="1">
    <mergeCell ref="D1:N1"/>
  </mergeCells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8"/>
  <sheetViews>
    <sheetView zoomScale="85" zoomScaleNormal="85" workbookViewId="0">
      <selection activeCell="A4" sqref="A4"/>
    </sheetView>
  </sheetViews>
  <sheetFormatPr defaultColWidth="8.7109375" defaultRowHeight="14.25" x14ac:dyDescent="0.25"/>
  <cols>
    <col min="1" max="1" width="14.140625" style="21" customWidth="1"/>
    <col min="2" max="2" width="17.85546875" style="21" bestFit="1" customWidth="1"/>
    <col min="3" max="3" width="9.140625" style="21" customWidth="1"/>
    <col min="4" max="4" width="14.28515625" style="21" bestFit="1" customWidth="1"/>
    <col min="5" max="5" width="15.42578125" style="21" bestFit="1" customWidth="1"/>
    <col min="6" max="6" width="16.28515625" style="21" bestFit="1" customWidth="1"/>
    <col min="7" max="7" width="19.28515625" style="21" bestFit="1" customWidth="1"/>
    <col min="8" max="8" width="17.5703125" style="21" bestFit="1" customWidth="1"/>
    <col min="9" max="9" width="12.28515625" style="21" customWidth="1"/>
    <col min="10" max="10" width="38" style="21" customWidth="1"/>
    <col min="11" max="11" width="16.5703125" style="21" customWidth="1"/>
    <col min="12" max="12" width="20.7109375" style="21" customWidth="1"/>
    <col min="13" max="13" width="15.42578125" style="21" bestFit="1" customWidth="1"/>
    <col min="14" max="14" width="18" style="21" bestFit="1" customWidth="1"/>
    <col min="15" max="15" width="19.28515625" style="21" bestFit="1" customWidth="1"/>
    <col min="16" max="16" width="17.5703125" style="21" bestFit="1" customWidth="1"/>
    <col min="17" max="17" width="13.5703125" customWidth="1"/>
    <col min="18" max="18" width="9.140625" bestFit="1" customWidth="1"/>
    <col min="19" max="19" width="11.140625" customWidth="1"/>
    <col min="20" max="20" width="17.5703125" customWidth="1"/>
    <col min="21" max="21" width="16.7109375" customWidth="1"/>
    <col min="22" max="22" width="14.42578125" customWidth="1"/>
    <col min="23" max="23" width="9.5703125" bestFit="1" customWidth="1"/>
    <col min="24" max="24" width="14.140625" customWidth="1"/>
    <col min="25" max="25" width="31" customWidth="1"/>
  </cols>
  <sheetData>
    <row r="1" spans="1:25" ht="57.75" thickBot="1" x14ac:dyDescent="0.3">
      <c r="A1" s="26" t="s">
        <v>1</v>
      </c>
      <c r="B1" s="2" t="s">
        <v>24</v>
      </c>
      <c r="C1" s="2" t="s">
        <v>25</v>
      </c>
      <c r="D1" s="2" t="s">
        <v>57</v>
      </c>
      <c r="E1" s="2" t="s">
        <v>56</v>
      </c>
      <c r="F1" s="2" t="s">
        <v>26</v>
      </c>
      <c r="G1" s="2" t="s">
        <v>27</v>
      </c>
      <c r="H1" s="2" t="s">
        <v>28</v>
      </c>
      <c r="I1" s="26" t="s">
        <v>2</v>
      </c>
      <c r="J1" s="2" t="s">
        <v>29</v>
      </c>
      <c r="K1" s="2" t="s">
        <v>30</v>
      </c>
      <c r="L1" s="2" t="s">
        <v>54</v>
      </c>
      <c r="M1" s="2" t="s">
        <v>55</v>
      </c>
      <c r="N1" s="2" t="s">
        <v>31</v>
      </c>
      <c r="O1" s="2" t="s">
        <v>32</v>
      </c>
      <c r="P1" s="3" t="s">
        <v>33</v>
      </c>
      <c r="Q1" s="26" t="s">
        <v>34</v>
      </c>
      <c r="R1" s="2" t="s">
        <v>42</v>
      </c>
      <c r="S1" s="2" t="s">
        <v>43</v>
      </c>
      <c r="T1" s="3" t="s">
        <v>44</v>
      </c>
      <c r="U1" s="26" t="s">
        <v>39</v>
      </c>
      <c r="V1" s="2" t="s">
        <v>3</v>
      </c>
      <c r="W1" s="3" t="s">
        <v>45</v>
      </c>
      <c r="X1" s="26" t="s">
        <v>6</v>
      </c>
      <c r="Y1" s="3" t="s">
        <v>46</v>
      </c>
    </row>
    <row r="2" spans="1:25" x14ac:dyDescent="0.25">
      <c r="A2" s="34" t="s">
        <v>68</v>
      </c>
      <c r="B2" s="35" t="s">
        <v>69</v>
      </c>
      <c r="C2" s="36">
        <v>15</v>
      </c>
      <c r="D2" s="38">
        <v>15</v>
      </c>
      <c r="E2" s="37">
        <v>0.95</v>
      </c>
      <c r="F2" s="36">
        <v>350</v>
      </c>
      <c r="G2" s="38">
        <v>1.2</v>
      </c>
      <c r="H2" s="36">
        <v>350</v>
      </c>
      <c r="I2" s="27" t="s">
        <v>72</v>
      </c>
      <c r="J2" s="6" t="s">
        <v>74</v>
      </c>
      <c r="K2" s="10">
        <v>14</v>
      </c>
      <c r="L2" s="40">
        <v>6.25</v>
      </c>
      <c r="M2" s="39">
        <v>0.95499999999999996</v>
      </c>
      <c r="N2" s="10">
        <v>160</v>
      </c>
      <c r="O2" s="40">
        <v>1</v>
      </c>
      <c r="P2" s="41">
        <v>160</v>
      </c>
      <c r="Q2" s="4" t="s">
        <v>35</v>
      </c>
      <c r="R2">
        <v>16</v>
      </c>
      <c r="S2">
        <v>0.5</v>
      </c>
      <c r="T2" s="30" t="s">
        <v>38</v>
      </c>
      <c r="U2" s="4" t="s">
        <v>9</v>
      </c>
      <c r="V2">
        <v>16</v>
      </c>
      <c r="W2" s="30">
        <v>0.68</v>
      </c>
      <c r="X2" s="4" t="s">
        <v>59</v>
      </c>
      <c r="Y2" s="30" t="s">
        <v>38</v>
      </c>
    </row>
    <row r="3" spans="1:25" x14ac:dyDescent="0.25">
      <c r="A3" s="27" t="s">
        <v>70</v>
      </c>
      <c r="B3" s="6" t="s">
        <v>71</v>
      </c>
      <c r="C3" s="10">
        <v>12</v>
      </c>
      <c r="D3" s="40">
        <v>10</v>
      </c>
      <c r="E3" s="39">
        <v>0.98</v>
      </c>
      <c r="F3" s="10">
        <v>650</v>
      </c>
      <c r="G3" s="40">
        <v>2.4</v>
      </c>
      <c r="H3" s="10">
        <v>650</v>
      </c>
      <c r="I3" s="27" t="s">
        <v>73</v>
      </c>
      <c r="J3" s="6" t="s">
        <v>75</v>
      </c>
      <c r="K3" s="10">
        <v>11</v>
      </c>
      <c r="L3" s="40">
        <v>4</v>
      </c>
      <c r="M3" s="39">
        <v>0.96</v>
      </c>
      <c r="N3" s="10">
        <v>160</v>
      </c>
      <c r="O3" s="40">
        <v>0.88</v>
      </c>
      <c r="P3" s="41">
        <v>160</v>
      </c>
      <c r="Q3" s="4" t="s">
        <v>36</v>
      </c>
      <c r="R3">
        <v>16</v>
      </c>
      <c r="S3">
        <v>1</v>
      </c>
      <c r="T3" s="30" t="s">
        <v>38</v>
      </c>
      <c r="U3" s="4" t="s">
        <v>40</v>
      </c>
      <c r="V3">
        <v>16</v>
      </c>
      <c r="W3" s="30">
        <v>2.5000000000000001E-2</v>
      </c>
      <c r="X3" s="4" t="s">
        <v>60</v>
      </c>
      <c r="Y3" s="30" t="s">
        <v>48</v>
      </c>
    </row>
    <row r="4" spans="1:25" x14ac:dyDescent="0.25">
      <c r="A4" s="27"/>
      <c r="B4" s="6"/>
      <c r="C4" s="10"/>
      <c r="D4" s="40"/>
      <c r="E4" s="39"/>
      <c r="F4" s="10"/>
      <c r="G4" s="40"/>
      <c r="H4" s="10"/>
      <c r="I4" s="27"/>
      <c r="J4" s="6"/>
      <c r="K4" s="10"/>
      <c r="L4" s="40"/>
      <c r="M4" s="39"/>
      <c r="N4" s="10"/>
      <c r="O4" s="40"/>
      <c r="P4" s="41"/>
      <c r="Q4" s="4" t="s">
        <v>37</v>
      </c>
      <c r="R4">
        <v>16</v>
      </c>
      <c r="S4">
        <v>1.5</v>
      </c>
      <c r="T4" s="30" t="s">
        <v>38</v>
      </c>
      <c r="U4" s="4" t="s">
        <v>63</v>
      </c>
      <c r="V4">
        <v>16</v>
      </c>
      <c r="W4" s="30">
        <v>0.02</v>
      </c>
      <c r="Y4" s="30"/>
    </row>
    <row r="5" spans="1:25" x14ac:dyDescent="0.25">
      <c r="A5" s="27"/>
      <c r="B5" s="6"/>
      <c r="C5" s="10"/>
      <c r="D5" s="40"/>
      <c r="E5" s="39"/>
      <c r="F5" s="10"/>
      <c r="G5" s="40"/>
      <c r="H5" s="10"/>
      <c r="I5" s="27"/>
      <c r="J5" s="6"/>
      <c r="K5" s="10"/>
      <c r="L5" s="40"/>
      <c r="M5" s="39"/>
      <c r="N5" s="10"/>
      <c r="O5" s="40"/>
      <c r="P5" s="41"/>
      <c r="Q5" s="4"/>
      <c r="T5" s="30"/>
      <c r="U5" s="4"/>
      <c r="W5" s="30"/>
      <c r="X5" s="4"/>
      <c r="Y5" s="30"/>
    </row>
    <row r="6" spans="1:25" x14ac:dyDescent="0.25">
      <c r="A6" s="27"/>
      <c r="B6" s="6"/>
      <c r="C6" s="10"/>
      <c r="D6" s="40"/>
      <c r="E6" s="39"/>
      <c r="F6" s="10"/>
      <c r="G6" s="40"/>
      <c r="H6" s="10"/>
      <c r="I6" s="27"/>
      <c r="J6" s="6"/>
      <c r="K6" s="10"/>
      <c r="L6" s="40"/>
      <c r="M6" s="39"/>
      <c r="N6" s="10"/>
      <c r="O6" s="40"/>
      <c r="P6" s="41"/>
      <c r="Q6" s="4"/>
      <c r="T6" s="30"/>
      <c r="U6" s="4"/>
      <c r="W6" s="30"/>
      <c r="X6" s="4"/>
      <c r="Y6" s="30"/>
    </row>
    <row r="7" spans="1:25" x14ac:dyDescent="0.25">
      <c r="A7" s="27"/>
      <c r="B7" s="6"/>
      <c r="C7" s="10"/>
      <c r="D7" s="40"/>
      <c r="E7" s="39"/>
      <c r="F7" s="10"/>
      <c r="G7" s="40"/>
      <c r="H7" s="10"/>
      <c r="I7" s="27"/>
      <c r="J7" s="6"/>
      <c r="K7" s="10"/>
      <c r="L7" s="40"/>
      <c r="M7" s="39"/>
      <c r="N7" s="10"/>
      <c r="O7" s="40"/>
      <c r="P7" s="41"/>
      <c r="Q7" s="4"/>
      <c r="T7" s="30"/>
      <c r="U7" s="4"/>
      <c r="W7" s="30"/>
      <c r="X7" s="4"/>
      <c r="Y7" s="30"/>
    </row>
    <row r="8" spans="1:25" x14ac:dyDescent="0.25">
      <c r="A8" s="27"/>
      <c r="B8" s="6"/>
      <c r="C8" s="10"/>
      <c r="D8" s="40"/>
      <c r="E8" s="39"/>
      <c r="F8" s="10"/>
      <c r="G8" s="40"/>
      <c r="H8" s="10"/>
      <c r="I8" s="27"/>
      <c r="J8" s="6"/>
      <c r="K8" s="10"/>
      <c r="L8" s="40"/>
      <c r="M8" s="39"/>
      <c r="N8" s="10"/>
      <c r="O8" s="40"/>
      <c r="P8" s="41"/>
      <c r="Q8" s="4"/>
      <c r="T8" s="30"/>
      <c r="U8" s="4"/>
      <c r="W8" s="30"/>
      <c r="X8" s="4"/>
      <c r="Y8" s="30"/>
    </row>
    <row r="9" spans="1:25" x14ac:dyDescent="0.25">
      <c r="A9" s="27"/>
      <c r="B9" s="6"/>
      <c r="C9" s="10"/>
      <c r="D9" s="40"/>
      <c r="E9" s="39"/>
      <c r="F9" s="10"/>
      <c r="G9" s="40"/>
      <c r="H9" s="10"/>
      <c r="I9" s="27"/>
      <c r="J9" s="6"/>
      <c r="K9" s="10"/>
      <c r="L9" s="40"/>
      <c r="M9" s="39"/>
      <c r="N9" s="10"/>
      <c r="O9" s="40"/>
      <c r="P9" s="41"/>
      <c r="Q9" s="4"/>
      <c r="T9" s="30"/>
      <c r="U9" s="4"/>
      <c r="W9" s="30"/>
      <c r="X9" s="4"/>
      <c r="Y9" s="30"/>
    </row>
    <row r="10" spans="1:25" x14ac:dyDescent="0.25">
      <c r="A10" s="27"/>
      <c r="B10" s="6"/>
      <c r="C10" s="10"/>
      <c r="D10" s="40"/>
      <c r="E10" s="39"/>
      <c r="F10" s="10"/>
      <c r="G10" s="40"/>
      <c r="H10" s="10"/>
      <c r="I10" s="27"/>
      <c r="J10" s="6"/>
      <c r="K10" s="10"/>
      <c r="L10" s="40"/>
      <c r="M10" s="39"/>
      <c r="N10" s="10"/>
      <c r="O10" s="40"/>
      <c r="P10" s="41"/>
      <c r="Q10" s="4"/>
      <c r="T10" s="30"/>
      <c r="U10" s="4"/>
      <c r="W10" s="30"/>
      <c r="X10" s="4"/>
      <c r="Y10" s="30"/>
    </row>
    <row r="11" spans="1:25" x14ac:dyDescent="0.25">
      <c r="A11" s="27"/>
      <c r="B11" s="6"/>
      <c r="C11" s="10"/>
      <c r="D11" s="40"/>
      <c r="E11" s="39"/>
      <c r="F11" s="10"/>
      <c r="G11" s="40"/>
      <c r="H11" s="10"/>
      <c r="I11" s="27"/>
      <c r="J11" s="6"/>
      <c r="K11" s="10"/>
      <c r="L11" s="40"/>
      <c r="M11" s="39"/>
      <c r="N11" s="10"/>
      <c r="O11" s="40"/>
      <c r="P11" s="41"/>
      <c r="Q11" s="4"/>
      <c r="T11" s="30"/>
      <c r="U11" s="4"/>
      <c r="W11" s="30"/>
      <c r="X11" s="4"/>
      <c r="Y11" s="30"/>
    </row>
    <row r="12" spans="1:25" x14ac:dyDescent="0.25">
      <c r="A12" s="27"/>
      <c r="B12" s="6"/>
      <c r="C12" s="10"/>
      <c r="D12" s="40"/>
      <c r="E12" s="39"/>
      <c r="F12" s="10"/>
      <c r="G12" s="40"/>
      <c r="H12" s="10"/>
      <c r="I12" s="27"/>
      <c r="J12" s="6"/>
      <c r="K12" s="10"/>
      <c r="L12" s="40"/>
      <c r="M12" s="39"/>
      <c r="N12" s="10"/>
      <c r="O12" s="40"/>
      <c r="P12" s="41"/>
      <c r="Q12" s="4"/>
      <c r="T12" s="30"/>
      <c r="U12" s="4"/>
      <c r="W12" s="30"/>
      <c r="X12" s="4"/>
      <c r="Y12" s="30"/>
    </row>
    <row r="13" spans="1:25" x14ac:dyDescent="0.25">
      <c r="A13" s="27"/>
      <c r="B13" s="6"/>
      <c r="C13" s="10"/>
      <c r="D13" s="40"/>
      <c r="E13" s="39"/>
      <c r="F13" s="10"/>
      <c r="G13" s="10"/>
      <c r="H13" s="10"/>
      <c r="I13" s="27"/>
      <c r="J13" s="6"/>
      <c r="K13" s="10"/>
      <c r="L13" s="40"/>
      <c r="M13" s="39"/>
      <c r="N13" s="10"/>
      <c r="O13" s="10"/>
      <c r="P13" s="41"/>
      <c r="Q13" s="4"/>
      <c r="T13" s="30"/>
      <c r="U13" s="4"/>
      <c r="W13" s="30"/>
      <c r="X13" s="4"/>
      <c r="Y13" s="30"/>
    </row>
    <row r="14" spans="1:25" x14ac:dyDescent="0.25">
      <c r="A14" s="27"/>
      <c r="B14" s="6"/>
      <c r="C14" s="10"/>
      <c r="D14" s="40"/>
      <c r="E14" s="39"/>
      <c r="F14" s="10"/>
      <c r="G14" s="10"/>
      <c r="H14" s="10"/>
      <c r="I14" s="27"/>
      <c r="J14" s="6"/>
      <c r="K14" s="10"/>
      <c r="L14" s="40"/>
      <c r="M14" s="39"/>
      <c r="N14" s="10"/>
      <c r="O14" s="10"/>
      <c r="P14" s="41"/>
      <c r="Q14" s="4"/>
      <c r="T14" s="30"/>
      <c r="U14" s="4"/>
      <c r="W14" s="30"/>
      <c r="X14" s="4"/>
      <c r="Y14" s="30"/>
    </row>
    <row r="15" spans="1:25" x14ac:dyDescent="0.25">
      <c r="A15" s="27"/>
      <c r="B15" s="6"/>
      <c r="C15" s="10"/>
      <c r="D15" s="40"/>
      <c r="E15" s="39"/>
      <c r="F15" s="10"/>
      <c r="G15" s="10"/>
      <c r="H15" s="10"/>
      <c r="I15" s="27"/>
      <c r="J15" s="6"/>
      <c r="K15" s="10"/>
      <c r="L15" s="40"/>
      <c r="M15" s="39"/>
      <c r="N15" s="10"/>
      <c r="O15" s="10"/>
      <c r="P15" s="41"/>
      <c r="Q15" s="4"/>
      <c r="T15" s="30"/>
      <c r="U15" s="4"/>
      <c r="W15" s="30"/>
      <c r="X15" s="4"/>
      <c r="Y15" s="30"/>
    </row>
    <row r="16" spans="1:25" x14ac:dyDescent="0.25">
      <c r="A16" s="27"/>
      <c r="B16" s="6"/>
      <c r="C16" s="10"/>
      <c r="D16" s="40"/>
      <c r="E16" s="39"/>
      <c r="F16" s="10"/>
      <c r="G16" s="10"/>
      <c r="H16" s="10"/>
      <c r="I16" s="27"/>
      <c r="J16" s="6"/>
      <c r="K16" s="10"/>
      <c r="L16" s="40"/>
      <c r="M16" s="39"/>
      <c r="N16" s="10"/>
      <c r="O16" s="10"/>
      <c r="P16" s="41"/>
      <c r="Q16" s="4"/>
      <c r="T16" s="30"/>
      <c r="U16" s="4"/>
      <c r="W16" s="30"/>
      <c r="X16" s="4"/>
      <c r="Y16" s="30"/>
    </row>
    <row r="17" spans="1:25" x14ac:dyDescent="0.25">
      <c r="A17" s="27"/>
      <c r="B17" s="6"/>
      <c r="C17" s="10"/>
      <c r="D17" s="40"/>
      <c r="E17" s="39"/>
      <c r="F17" s="10"/>
      <c r="G17" s="10"/>
      <c r="H17" s="10"/>
      <c r="I17" s="27"/>
      <c r="J17" s="6"/>
      <c r="K17" s="10"/>
      <c r="L17" s="40"/>
      <c r="M17" s="39"/>
      <c r="N17" s="10"/>
      <c r="O17" s="10"/>
      <c r="P17" s="41"/>
      <c r="Q17" s="4"/>
      <c r="T17" s="30"/>
      <c r="U17" s="4"/>
      <c r="W17" s="30"/>
      <c r="X17" s="4"/>
      <c r="Y17" s="30"/>
    </row>
    <row r="18" spans="1:25" x14ac:dyDescent="0.25">
      <c r="A18" s="27"/>
      <c r="B18" s="6"/>
      <c r="C18" s="10"/>
      <c r="D18" s="40"/>
      <c r="E18" s="39"/>
      <c r="F18" s="10"/>
      <c r="G18" s="10"/>
      <c r="H18" s="10"/>
      <c r="I18" s="27"/>
      <c r="J18" s="6"/>
      <c r="K18" s="10"/>
      <c r="L18" s="40"/>
      <c r="M18" s="39"/>
      <c r="N18" s="10"/>
      <c r="O18" s="10"/>
      <c r="P18" s="41"/>
      <c r="Q18" s="4"/>
      <c r="T18" s="30"/>
      <c r="U18" s="4"/>
      <c r="W18" s="30"/>
      <c r="X18" s="4"/>
      <c r="Y18" s="30"/>
    </row>
    <row r="19" spans="1:25" x14ac:dyDescent="0.25">
      <c r="A19" s="27"/>
      <c r="B19" s="6"/>
      <c r="C19" s="10"/>
      <c r="D19" s="40"/>
      <c r="E19" s="39"/>
      <c r="F19" s="10"/>
      <c r="G19" s="10"/>
      <c r="H19" s="10"/>
      <c r="I19" s="27"/>
      <c r="J19" s="6"/>
      <c r="K19" s="10"/>
      <c r="L19" s="40"/>
      <c r="M19" s="39"/>
      <c r="N19" s="10"/>
      <c r="O19" s="10"/>
      <c r="P19" s="41"/>
      <c r="Q19" s="4"/>
      <c r="T19" s="30"/>
      <c r="U19" s="4"/>
      <c r="W19" s="30"/>
      <c r="X19" s="4"/>
      <c r="Y19" s="30"/>
    </row>
    <row r="20" spans="1:25" x14ac:dyDescent="0.25">
      <c r="A20" s="27"/>
      <c r="B20" s="6"/>
      <c r="C20" s="10"/>
      <c r="D20" s="40"/>
      <c r="E20" s="39"/>
      <c r="F20" s="10"/>
      <c r="G20" s="10"/>
      <c r="H20" s="10"/>
      <c r="I20" s="27"/>
      <c r="J20" s="6"/>
      <c r="K20" s="10"/>
      <c r="L20" s="40"/>
      <c r="M20" s="39"/>
      <c r="N20" s="10"/>
      <c r="O20" s="10"/>
      <c r="P20" s="41"/>
      <c r="Q20" s="4"/>
      <c r="T20" s="30"/>
      <c r="U20" s="4"/>
      <c r="W20" s="30"/>
      <c r="X20" s="4"/>
      <c r="Y20" s="30"/>
    </row>
    <row r="21" spans="1:25" x14ac:dyDescent="0.25">
      <c r="A21" s="27"/>
      <c r="B21" s="6"/>
      <c r="C21" s="10"/>
      <c r="D21" s="40"/>
      <c r="E21" s="39"/>
      <c r="F21" s="10"/>
      <c r="G21" s="10"/>
      <c r="H21" s="10"/>
      <c r="I21" s="27"/>
      <c r="J21" s="6"/>
      <c r="K21" s="10"/>
      <c r="L21" s="40"/>
      <c r="M21" s="39"/>
      <c r="N21" s="10"/>
      <c r="O21" s="10"/>
      <c r="P21" s="41"/>
      <c r="Q21" s="4"/>
      <c r="T21" s="30"/>
      <c r="U21" s="4"/>
      <c r="W21" s="30"/>
      <c r="X21" s="4"/>
      <c r="Y21" s="30"/>
    </row>
    <row r="22" spans="1:25" x14ac:dyDescent="0.25">
      <c r="A22" s="27"/>
      <c r="B22" s="6"/>
      <c r="C22" s="10"/>
      <c r="D22" s="40"/>
      <c r="E22" s="39"/>
      <c r="F22" s="10"/>
      <c r="G22" s="10"/>
      <c r="H22" s="10"/>
      <c r="I22" s="27"/>
      <c r="J22" s="6"/>
      <c r="K22" s="10"/>
      <c r="L22" s="40"/>
      <c r="M22" s="39"/>
      <c r="N22" s="10"/>
      <c r="O22" s="10"/>
      <c r="P22" s="41"/>
      <c r="Q22" s="4"/>
      <c r="T22" s="30"/>
      <c r="U22" s="4"/>
      <c r="W22" s="30"/>
      <c r="X22" s="4"/>
      <c r="Y22" s="30"/>
    </row>
    <row r="23" spans="1:25" x14ac:dyDescent="0.25">
      <c r="A23" s="27"/>
      <c r="B23" s="6"/>
      <c r="C23" s="10"/>
      <c r="D23" s="40"/>
      <c r="E23" s="39"/>
      <c r="F23" s="10"/>
      <c r="G23" s="10"/>
      <c r="H23" s="10"/>
      <c r="I23" s="27"/>
      <c r="J23" s="6"/>
      <c r="K23" s="10"/>
      <c r="L23" s="40"/>
      <c r="M23" s="39"/>
      <c r="N23" s="10"/>
      <c r="O23" s="10"/>
      <c r="P23" s="41"/>
      <c r="Q23" s="4"/>
      <c r="T23" s="30"/>
      <c r="U23" s="4"/>
      <c r="W23" s="30"/>
      <c r="X23" s="4"/>
      <c r="Y23" s="30"/>
    </row>
    <row r="24" spans="1:25" x14ac:dyDescent="0.25">
      <c r="A24" s="27"/>
      <c r="B24" s="6"/>
      <c r="C24" s="10"/>
      <c r="D24" s="40"/>
      <c r="E24" s="39"/>
      <c r="F24" s="10"/>
      <c r="G24" s="10"/>
      <c r="H24" s="10"/>
      <c r="I24" s="27"/>
      <c r="J24" s="6"/>
      <c r="K24" s="10"/>
      <c r="L24" s="40"/>
      <c r="M24" s="39"/>
      <c r="N24" s="10"/>
      <c r="O24" s="10"/>
      <c r="P24" s="41"/>
      <c r="Q24" s="4"/>
      <c r="T24" s="30"/>
      <c r="U24" s="4"/>
      <c r="W24" s="30"/>
      <c r="X24" s="4"/>
      <c r="Y24" s="30"/>
    </row>
    <row r="25" spans="1:25" x14ac:dyDescent="0.25">
      <c r="A25" s="27"/>
      <c r="B25" s="6"/>
      <c r="C25" s="10"/>
      <c r="D25" s="40"/>
      <c r="E25" s="39"/>
      <c r="F25" s="10"/>
      <c r="G25" s="10"/>
      <c r="H25" s="10"/>
      <c r="I25" s="27"/>
      <c r="J25" s="6"/>
      <c r="K25" s="10"/>
      <c r="L25" s="40"/>
      <c r="M25" s="39"/>
      <c r="N25" s="10"/>
      <c r="O25" s="10"/>
      <c r="P25" s="41"/>
      <c r="Q25" s="4"/>
      <c r="T25" s="30"/>
      <c r="U25" s="4"/>
      <c r="W25" s="30"/>
      <c r="X25" s="4"/>
      <c r="Y25" s="30"/>
    </row>
    <row r="26" spans="1:25" x14ac:dyDescent="0.25">
      <c r="A26" s="27"/>
      <c r="B26" s="6"/>
      <c r="C26" s="10"/>
      <c r="D26" s="40"/>
      <c r="E26" s="39"/>
      <c r="F26" s="10"/>
      <c r="G26" s="10"/>
      <c r="H26" s="10"/>
      <c r="I26" s="27"/>
      <c r="J26" s="6"/>
      <c r="K26" s="10"/>
      <c r="L26" s="40"/>
      <c r="M26" s="39"/>
      <c r="N26" s="10"/>
      <c r="O26" s="10"/>
      <c r="P26" s="41"/>
      <c r="Q26" s="4"/>
      <c r="T26" s="30"/>
      <c r="U26" s="4"/>
      <c r="W26" s="30"/>
      <c r="X26" s="4"/>
      <c r="Y26" s="30"/>
    </row>
    <row r="27" spans="1:25" x14ac:dyDescent="0.25">
      <c r="A27" s="27"/>
      <c r="B27" s="6"/>
      <c r="C27" s="10"/>
      <c r="D27" s="40"/>
      <c r="E27" s="39"/>
      <c r="F27" s="10"/>
      <c r="G27" s="10"/>
      <c r="H27" s="10"/>
      <c r="I27" s="27"/>
      <c r="J27" s="6"/>
      <c r="K27" s="10"/>
      <c r="L27" s="40"/>
      <c r="M27" s="39"/>
      <c r="N27" s="10"/>
      <c r="O27" s="10"/>
      <c r="P27" s="41"/>
      <c r="Q27" s="4"/>
      <c r="T27" s="30"/>
      <c r="U27" s="4"/>
      <c r="W27" s="30"/>
      <c r="X27" s="4"/>
      <c r="Y27" s="30"/>
    </row>
    <row r="28" spans="1:25" x14ac:dyDescent="0.25">
      <c r="A28" s="27"/>
      <c r="B28" s="6"/>
      <c r="C28" s="10"/>
      <c r="D28" s="40"/>
      <c r="E28" s="39"/>
      <c r="F28" s="10"/>
      <c r="G28" s="10"/>
      <c r="H28" s="10"/>
      <c r="I28" s="27"/>
      <c r="J28" s="6"/>
      <c r="K28" s="10"/>
      <c r="L28" s="40"/>
      <c r="M28" s="39"/>
      <c r="N28" s="10"/>
      <c r="O28" s="10"/>
      <c r="P28" s="41"/>
      <c r="Q28" s="4"/>
      <c r="T28" s="30"/>
      <c r="U28" s="4"/>
      <c r="W28" s="30"/>
      <c r="X28" s="4"/>
      <c r="Y28" s="30"/>
    </row>
    <row r="29" spans="1:25" x14ac:dyDescent="0.25">
      <c r="A29" s="27"/>
      <c r="B29" s="6"/>
      <c r="C29" s="10"/>
      <c r="D29" s="40"/>
      <c r="E29" s="39"/>
      <c r="F29" s="10"/>
      <c r="G29" s="10"/>
      <c r="H29" s="10"/>
      <c r="I29" s="27"/>
      <c r="J29" s="6"/>
      <c r="K29" s="10"/>
      <c r="L29" s="40"/>
      <c r="M29" s="39"/>
      <c r="N29" s="10"/>
      <c r="O29" s="10"/>
      <c r="P29" s="41"/>
      <c r="Q29" s="4"/>
      <c r="T29" s="30"/>
      <c r="U29" s="4"/>
      <c r="W29" s="30"/>
      <c r="X29" s="4"/>
      <c r="Y29" s="30"/>
    </row>
    <row r="30" spans="1:25" x14ac:dyDescent="0.25">
      <c r="A30" s="27"/>
      <c r="B30" s="6"/>
      <c r="C30" s="10"/>
      <c r="D30" s="40"/>
      <c r="E30" s="39"/>
      <c r="F30" s="10"/>
      <c r="G30" s="10"/>
      <c r="H30" s="10"/>
      <c r="I30" s="27"/>
      <c r="J30" s="6"/>
      <c r="K30" s="10"/>
      <c r="L30" s="40"/>
      <c r="M30" s="39"/>
      <c r="N30" s="10"/>
      <c r="O30" s="10"/>
      <c r="P30" s="41"/>
      <c r="Q30" s="4"/>
      <c r="T30" s="30"/>
      <c r="U30" s="4"/>
      <c r="W30" s="30"/>
      <c r="X30" s="4"/>
      <c r="Y30" s="30"/>
    </row>
    <row r="31" spans="1:25" x14ac:dyDescent="0.25">
      <c r="A31" s="27"/>
      <c r="B31" s="6"/>
      <c r="C31" s="10"/>
      <c r="D31" s="40"/>
      <c r="E31" s="39"/>
      <c r="F31" s="10"/>
      <c r="G31" s="10"/>
      <c r="H31" s="10"/>
      <c r="I31" s="27"/>
      <c r="J31" s="6"/>
      <c r="K31" s="10"/>
      <c r="L31" s="40"/>
      <c r="M31" s="39"/>
      <c r="N31" s="10"/>
      <c r="O31" s="10"/>
      <c r="P31" s="41"/>
      <c r="Q31" s="4"/>
      <c r="T31" s="30"/>
      <c r="U31" s="4"/>
      <c r="W31" s="30"/>
      <c r="X31" s="4"/>
      <c r="Y31" s="30"/>
    </row>
    <row r="32" spans="1:25" x14ac:dyDescent="0.25">
      <c r="A32" s="27"/>
      <c r="B32" s="6"/>
      <c r="C32" s="10"/>
      <c r="D32" s="40"/>
      <c r="E32" s="39"/>
      <c r="F32" s="10"/>
      <c r="G32" s="10"/>
      <c r="H32" s="10"/>
      <c r="I32" s="27"/>
      <c r="J32" s="6"/>
      <c r="K32" s="10"/>
      <c r="L32" s="40"/>
      <c r="M32" s="39"/>
      <c r="N32" s="10"/>
      <c r="O32" s="10"/>
      <c r="P32" s="41"/>
      <c r="Q32" s="4"/>
      <c r="T32" s="30"/>
      <c r="U32" s="4"/>
      <c r="W32" s="30"/>
      <c r="X32" s="4"/>
      <c r="Y32" s="30"/>
    </row>
    <row r="33" spans="1:25" x14ac:dyDescent="0.25">
      <c r="A33" s="27"/>
      <c r="B33" s="6"/>
      <c r="C33" s="10"/>
      <c r="D33" s="40"/>
      <c r="E33" s="39"/>
      <c r="F33" s="10"/>
      <c r="G33" s="10"/>
      <c r="H33" s="10"/>
      <c r="I33" s="27"/>
      <c r="J33" s="6"/>
      <c r="K33" s="10"/>
      <c r="L33" s="40"/>
      <c r="M33" s="39"/>
      <c r="N33" s="10"/>
      <c r="O33" s="10"/>
      <c r="P33" s="41"/>
      <c r="Q33" s="4"/>
      <c r="T33" s="30"/>
      <c r="U33" s="4"/>
      <c r="W33" s="30"/>
      <c r="X33" s="4"/>
      <c r="Y33" s="30"/>
    </row>
    <row r="34" spans="1:25" x14ac:dyDescent="0.25">
      <c r="A34" s="27"/>
      <c r="B34" s="6"/>
      <c r="C34" s="10"/>
      <c r="D34" s="40"/>
      <c r="E34" s="39"/>
      <c r="F34" s="10"/>
      <c r="G34" s="10"/>
      <c r="H34" s="10"/>
      <c r="I34" s="27"/>
      <c r="J34" s="6"/>
      <c r="K34" s="10"/>
      <c r="L34" s="40"/>
      <c r="M34" s="39"/>
      <c r="N34" s="10"/>
      <c r="O34" s="10"/>
      <c r="P34" s="41"/>
      <c r="Q34" s="4"/>
      <c r="T34" s="30"/>
      <c r="U34" s="4"/>
      <c r="W34" s="30"/>
      <c r="X34" s="4"/>
      <c r="Y34" s="30"/>
    </row>
    <row r="35" spans="1:25" x14ac:dyDescent="0.25">
      <c r="A35" s="27"/>
      <c r="B35" s="6"/>
      <c r="C35" s="10"/>
      <c r="D35" s="40"/>
      <c r="E35" s="39"/>
      <c r="F35" s="10"/>
      <c r="G35" s="10"/>
      <c r="H35" s="10"/>
      <c r="I35" s="27"/>
      <c r="J35" s="6"/>
      <c r="K35" s="10"/>
      <c r="L35" s="40"/>
      <c r="M35" s="39"/>
      <c r="N35" s="10"/>
      <c r="O35" s="10"/>
      <c r="P35" s="41"/>
      <c r="Q35" s="4"/>
      <c r="T35" s="30"/>
      <c r="U35" s="4"/>
      <c r="W35" s="30"/>
      <c r="X35" s="4"/>
      <c r="Y35" s="30"/>
    </row>
    <row r="36" spans="1:25" x14ac:dyDescent="0.25">
      <c r="A36" s="27"/>
      <c r="B36" s="6"/>
      <c r="C36" s="10"/>
      <c r="D36" s="40"/>
      <c r="E36" s="39"/>
      <c r="F36" s="10"/>
      <c r="G36" s="10"/>
      <c r="H36" s="10"/>
      <c r="I36" s="27"/>
      <c r="J36" s="6"/>
      <c r="K36" s="10"/>
      <c r="L36" s="40"/>
      <c r="M36" s="39"/>
      <c r="N36" s="10"/>
      <c r="O36" s="10"/>
      <c r="P36" s="41"/>
      <c r="Q36" s="4"/>
      <c r="T36" s="30"/>
      <c r="U36" s="4"/>
      <c r="W36" s="30"/>
      <c r="X36" s="4"/>
      <c r="Y36" s="30"/>
    </row>
    <row r="37" spans="1:25" ht="15" thickBot="1" x14ac:dyDescent="0.3">
      <c r="A37" s="42"/>
      <c r="B37" s="22"/>
      <c r="C37" s="29"/>
      <c r="D37" s="43"/>
      <c r="E37" s="28"/>
      <c r="F37" s="29"/>
      <c r="G37" s="29"/>
      <c r="H37" s="29"/>
      <c r="I37" s="42"/>
      <c r="J37" s="22"/>
      <c r="K37" s="29"/>
      <c r="L37" s="43"/>
      <c r="M37" s="28"/>
      <c r="N37" s="29"/>
      <c r="O37" s="29"/>
      <c r="P37" s="44"/>
      <c r="Q37" s="31"/>
      <c r="R37" s="32"/>
      <c r="S37" s="32"/>
      <c r="T37" s="33"/>
      <c r="U37" s="31"/>
      <c r="V37" s="32"/>
      <c r="W37" s="33"/>
      <c r="X37" s="31"/>
      <c r="Y37" s="33"/>
    </row>
    <row r="38" spans="1:25" x14ac:dyDescent="0.25">
      <c r="A38" s="27"/>
      <c r="O38" s="10"/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Input Table</vt:lpstr>
      <vt:lpstr>Electrolyte Properties</vt:lpstr>
      <vt:lpstr>Component Properties</vt:lpstr>
      <vt:lpstr>'Input Table'!New_Input</vt:lpstr>
    </vt:vector>
  </TitlesOfParts>
  <Company>Empa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Kimbell, Graham</dc:creator>
  <dc:description/>
  <cp:lastModifiedBy>Kimbell, Graham</cp:lastModifiedBy>
  <cp:revision>36</cp:revision>
  <dcterms:created xsi:type="dcterms:W3CDTF">2024-02-23T07:40:04Z</dcterms:created>
  <dcterms:modified xsi:type="dcterms:W3CDTF">2026-03-13T10:59:30Z</dcterms:modified>
  <dc:language>en-US</dc:language>
</cp:coreProperties>
</file>